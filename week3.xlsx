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8_{E85BB528-B64B-447C-8DE8-BFD8B2B0238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Week3" sheetId="5" r:id="rId1"/>
    <sheet name="Week3 Insight Summary" sheetId="6" r:id="rId2"/>
    <sheet name="Sheet1" sheetId="7" r:id="rId3"/>
  </sheets>
  <definedNames>
    <definedName name="Slicer_Date">#N/A</definedName>
    <definedName name="Slicer_Month">#N/A</definedName>
    <definedName name="Slicer_Product">#N/A</definedName>
    <definedName name="Slicer_Product1">#N/A</definedName>
    <definedName name="Slicer_Region">#N/A</definedName>
    <definedName name="Slicer_Salesperson">#N/A</definedName>
    <definedName name="Slicer_Total_Sales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876F7934-8845-4945-9796-88D515C7AA90}">
      <x14:pivotCaches>
        <pivotCache cacheId="2" r:id="rId6"/>
      </x14:pivotCaches>
    </ex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3" i="5" l="1"/>
  <c r="I121" i="5"/>
  <c r="H121" i="5"/>
  <c r="G121" i="5"/>
  <c r="I120" i="5"/>
  <c r="H120" i="5"/>
  <c r="G120" i="5"/>
  <c r="I119" i="5"/>
  <c r="H119" i="5"/>
  <c r="G119" i="5"/>
  <c r="I118" i="5"/>
  <c r="H118" i="5"/>
  <c r="G118" i="5"/>
  <c r="I117" i="5"/>
  <c r="H117" i="5"/>
  <c r="G117" i="5"/>
  <c r="I116" i="5"/>
  <c r="H116" i="5"/>
  <c r="G116" i="5"/>
  <c r="I115" i="5"/>
  <c r="H115" i="5"/>
  <c r="G115" i="5"/>
  <c r="I114" i="5"/>
  <c r="H114" i="5"/>
  <c r="G114" i="5"/>
  <c r="I113" i="5"/>
  <c r="H113" i="5"/>
  <c r="G113" i="5"/>
  <c r="I112" i="5"/>
  <c r="H112" i="5"/>
  <c r="G112" i="5"/>
  <c r="I111" i="5"/>
  <c r="H111" i="5"/>
  <c r="G111" i="5"/>
  <c r="I110" i="5"/>
  <c r="H110" i="5"/>
  <c r="G110" i="5"/>
  <c r="I109" i="5"/>
  <c r="H109" i="5"/>
  <c r="G109" i="5"/>
  <c r="I108" i="5"/>
  <c r="H108" i="5"/>
  <c r="G108" i="5"/>
  <c r="I107" i="5"/>
  <c r="H107" i="5"/>
  <c r="G107" i="5"/>
  <c r="I106" i="5"/>
  <c r="H106" i="5"/>
  <c r="G106" i="5"/>
  <c r="I105" i="5"/>
  <c r="H105" i="5"/>
  <c r="G105" i="5"/>
  <c r="I104" i="5"/>
  <c r="H104" i="5"/>
  <c r="G104" i="5"/>
  <c r="I103" i="5"/>
  <c r="H103" i="5"/>
  <c r="G103" i="5"/>
  <c r="I102" i="5"/>
  <c r="H102" i="5"/>
  <c r="G102" i="5"/>
  <c r="I101" i="5"/>
  <c r="H101" i="5"/>
  <c r="G101" i="5"/>
  <c r="I100" i="5"/>
  <c r="H100" i="5"/>
  <c r="G100" i="5"/>
  <c r="I99" i="5"/>
  <c r="H99" i="5"/>
  <c r="G99" i="5"/>
  <c r="I98" i="5"/>
  <c r="H98" i="5"/>
  <c r="G98" i="5"/>
  <c r="I97" i="5"/>
  <c r="H97" i="5"/>
  <c r="G97" i="5"/>
  <c r="I96" i="5"/>
  <c r="H96" i="5"/>
  <c r="G96" i="5"/>
  <c r="I95" i="5"/>
  <c r="H95" i="5"/>
  <c r="G95" i="5"/>
  <c r="I94" i="5"/>
  <c r="H94" i="5"/>
  <c r="G94" i="5"/>
  <c r="I93" i="5"/>
  <c r="H93" i="5"/>
  <c r="G93" i="5"/>
  <c r="I92" i="5"/>
  <c r="H92" i="5"/>
  <c r="G92" i="5"/>
  <c r="I91" i="5"/>
  <c r="H91" i="5"/>
  <c r="G91" i="5"/>
  <c r="I90" i="5"/>
  <c r="H90" i="5"/>
  <c r="G90" i="5"/>
  <c r="I89" i="5"/>
  <c r="H89" i="5"/>
  <c r="G89" i="5"/>
  <c r="I88" i="5"/>
  <c r="H88" i="5"/>
  <c r="G88" i="5"/>
  <c r="I87" i="5"/>
  <c r="H87" i="5"/>
  <c r="G87" i="5"/>
  <c r="I86" i="5"/>
  <c r="H86" i="5"/>
  <c r="G86" i="5"/>
  <c r="I85" i="5"/>
  <c r="H85" i="5"/>
  <c r="G85" i="5"/>
  <c r="I84" i="5"/>
  <c r="H84" i="5"/>
  <c r="G84" i="5"/>
  <c r="I83" i="5"/>
  <c r="H83" i="5"/>
  <c r="G83" i="5"/>
  <c r="I82" i="5"/>
  <c r="H82" i="5"/>
  <c r="G82" i="5"/>
  <c r="I81" i="5"/>
  <c r="H81" i="5"/>
  <c r="G81" i="5"/>
  <c r="I80" i="5"/>
  <c r="H80" i="5"/>
  <c r="G80" i="5"/>
  <c r="I79" i="5"/>
  <c r="H79" i="5"/>
  <c r="G79" i="5"/>
  <c r="I78" i="5"/>
  <c r="H78" i="5"/>
  <c r="G78" i="5"/>
  <c r="I77" i="5"/>
  <c r="H77" i="5"/>
  <c r="G77" i="5"/>
  <c r="I76" i="5"/>
  <c r="H76" i="5"/>
  <c r="G76" i="5"/>
  <c r="I75" i="5"/>
  <c r="H75" i="5"/>
  <c r="G75" i="5"/>
  <c r="I74" i="5"/>
  <c r="H74" i="5"/>
  <c r="G74" i="5"/>
  <c r="I73" i="5"/>
  <c r="H73" i="5"/>
  <c r="G73" i="5"/>
  <c r="I72" i="5"/>
  <c r="H72" i="5"/>
  <c r="G72" i="5"/>
  <c r="I71" i="5"/>
  <c r="H71" i="5"/>
  <c r="G71" i="5"/>
  <c r="I70" i="5"/>
  <c r="H70" i="5"/>
  <c r="G70" i="5"/>
  <c r="I69" i="5"/>
  <c r="H69" i="5"/>
  <c r="G69" i="5"/>
  <c r="I68" i="5"/>
  <c r="H68" i="5"/>
  <c r="G68" i="5"/>
  <c r="I67" i="5"/>
  <c r="H67" i="5"/>
  <c r="G67" i="5"/>
  <c r="I66" i="5"/>
  <c r="H66" i="5"/>
  <c r="G66" i="5"/>
  <c r="I65" i="5"/>
  <c r="H65" i="5"/>
  <c r="G65" i="5"/>
  <c r="I64" i="5"/>
  <c r="H64" i="5"/>
  <c r="G64" i="5"/>
  <c r="I63" i="5"/>
  <c r="H63" i="5"/>
  <c r="G63" i="5"/>
  <c r="I62" i="5"/>
  <c r="H62" i="5"/>
  <c r="G62" i="5"/>
  <c r="I61" i="5"/>
  <c r="H61" i="5"/>
  <c r="G61" i="5"/>
  <c r="I60" i="5"/>
  <c r="H60" i="5"/>
  <c r="G60" i="5"/>
  <c r="I59" i="5"/>
  <c r="H59" i="5"/>
  <c r="G59" i="5"/>
  <c r="I58" i="5"/>
  <c r="H58" i="5"/>
  <c r="G58" i="5"/>
  <c r="I57" i="5"/>
  <c r="H57" i="5"/>
  <c r="G57" i="5"/>
  <c r="I56" i="5"/>
  <c r="H56" i="5"/>
  <c r="G56" i="5"/>
  <c r="I55" i="5"/>
  <c r="H55" i="5"/>
  <c r="G55" i="5"/>
  <c r="I54" i="5"/>
  <c r="H54" i="5"/>
  <c r="G54" i="5"/>
  <c r="I53" i="5"/>
  <c r="H53" i="5"/>
  <c r="G53" i="5"/>
  <c r="I52" i="5"/>
  <c r="H52" i="5"/>
  <c r="G52" i="5"/>
  <c r="I51" i="5"/>
  <c r="H51" i="5"/>
  <c r="G51" i="5"/>
  <c r="I50" i="5"/>
  <c r="H50" i="5"/>
  <c r="G50" i="5"/>
  <c r="I49" i="5"/>
  <c r="H49" i="5"/>
  <c r="G49" i="5"/>
  <c r="I48" i="5"/>
  <c r="H48" i="5"/>
  <c r="G48" i="5"/>
  <c r="I47" i="5"/>
  <c r="H47" i="5"/>
  <c r="G47" i="5"/>
  <c r="I46" i="5"/>
  <c r="H46" i="5"/>
  <c r="G46" i="5"/>
  <c r="I45" i="5"/>
  <c r="H45" i="5"/>
  <c r="G45" i="5"/>
  <c r="I44" i="5"/>
  <c r="H44" i="5"/>
  <c r="G44" i="5"/>
  <c r="I43" i="5"/>
  <c r="H43" i="5"/>
  <c r="G43" i="5"/>
  <c r="I42" i="5"/>
  <c r="H42" i="5"/>
  <c r="G42" i="5"/>
  <c r="I41" i="5"/>
  <c r="H41" i="5"/>
  <c r="G41" i="5"/>
  <c r="I40" i="5"/>
  <c r="H40" i="5"/>
  <c r="G40" i="5"/>
  <c r="I39" i="5"/>
  <c r="H39" i="5"/>
  <c r="G39" i="5"/>
  <c r="I38" i="5"/>
  <c r="H38" i="5"/>
  <c r="G38" i="5"/>
  <c r="I37" i="5"/>
  <c r="H37" i="5"/>
  <c r="G37" i="5"/>
  <c r="I36" i="5"/>
  <c r="H36" i="5"/>
  <c r="G36" i="5"/>
  <c r="I35" i="5"/>
  <c r="H35" i="5"/>
  <c r="G35" i="5"/>
  <c r="I34" i="5"/>
  <c r="H34" i="5"/>
  <c r="G34" i="5"/>
  <c r="I33" i="5"/>
  <c r="H33" i="5"/>
  <c r="G33" i="5"/>
  <c r="I32" i="5"/>
  <c r="H32" i="5"/>
  <c r="G32" i="5"/>
  <c r="I31" i="5"/>
  <c r="H31" i="5"/>
  <c r="G31" i="5"/>
  <c r="I30" i="5"/>
  <c r="H30" i="5"/>
  <c r="G30" i="5"/>
  <c r="I29" i="5"/>
  <c r="H29" i="5"/>
  <c r="G29" i="5"/>
  <c r="I28" i="5"/>
  <c r="H28" i="5"/>
  <c r="G28" i="5"/>
  <c r="I27" i="5"/>
  <c r="H27" i="5"/>
  <c r="G27" i="5"/>
  <c r="I26" i="5"/>
  <c r="H26" i="5"/>
  <c r="G26" i="5"/>
  <c r="I25" i="5"/>
  <c r="H25" i="5"/>
  <c r="G25" i="5"/>
  <c r="I24" i="5"/>
  <c r="H24" i="5"/>
  <c r="G24" i="5"/>
  <c r="I23" i="5"/>
  <c r="H23" i="5"/>
  <c r="G23" i="5"/>
  <c r="I22" i="5"/>
  <c r="H22" i="5"/>
  <c r="G22" i="5"/>
  <c r="I21" i="5"/>
  <c r="H21" i="5"/>
  <c r="G21" i="5"/>
  <c r="I20" i="5"/>
  <c r="H20" i="5"/>
  <c r="G20" i="5"/>
  <c r="I19" i="5"/>
  <c r="H19" i="5"/>
  <c r="G19" i="5"/>
  <c r="I18" i="5"/>
  <c r="H18" i="5"/>
  <c r="G18" i="5"/>
  <c r="I17" i="5"/>
  <c r="H17" i="5"/>
  <c r="G17" i="5"/>
  <c r="I16" i="5"/>
  <c r="H16" i="5"/>
  <c r="G16" i="5"/>
  <c r="I15" i="5"/>
  <c r="H15" i="5"/>
  <c r="G15" i="5"/>
  <c r="I14" i="5"/>
  <c r="H14" i="5"/>
  <c r="G14" i="5"/>
  <c r="I13" i="5"/>
  <c r="H13" i="5"/>
  <c r="G13" i="5"/>
  <c r="I12" i="5"/>
  <c r="H12" i="5"/>
  <c r="G12" i="5"/>
  <c r="I11" i="5"/>
  <c r="H11" i="5"/>
  <c r="G11" i="5"/>
  <c r="I10" i="5"/>
  <c r="H10" i="5"/>
  <c r="G10" i="5"/>
  <c r="I9" i="5"/>
  <c r="H9" i="5"/>
  <c r="G9" i="5"/>
  <c r="I8" i="5"/>
  <c r="H8" i="5"/>
  <c r="G8" i="5"/>
  <c r="I7" i="5"/>
  <c r="H7" i="5"/>
  <c r="G7" i="5"/>
  <c r="K6" i="5"/>
  <c r="I6" i="5"/>
  <c r="H6" i="5"/>
  <c r="G6" i="5"/>
  <c r="I5" i="5"/>
  <c r="H5" i="5"/>
  <c r="G5" i="5"/>
  <c r="I4" i="5"/>
  <c r="H4" i="5"/>
  <c r="G4" i="5"/>
  <c r="I3" i="5"/>
  <c r="H3" i="5"/>
  <c r="G3" i="5"/>
  <c r="I2" i="5"/>
  <c r="H2" i="5"/>
  <c r="G2" i="5"/>
</calcChain>
</file>

<file path=xl/sharedStrings.xml><?xml version="1.0" encoding="utf-8"?>
<sst xmlns="http://schemas.openxmlformats.org/spreadsheetml/2006/main" count="445" uniqueCount="73">
  <si>
    <t>Grand Total</t>
  </si>
  <si>
    <t>Date</t>
  </si>
  <si>
    <t>Region</t>
  </si>
  <si>
    <t>Salesperson</t>
  </si>
  <si>
    <t>Product</t>
  </si>
  <si>
    <t>Quantity</t>
  </si>
  <si>
    <t>Unit Price</t>
  </si>
  <si>
    <t>Total Sales</t>
  </si>
  <si>
    <t>Month</t>
  </si>
  <si>
    <t>Year</t>
  </si>
  <si>
    <t>East</t>
  </si>
  <si>
    <t>Bilal Ahmed</t>
  </si>
  <si>
    <t>Printer</t>
  </si>
  <si>
    <t>North</t>
  </si>
  <si>
    <t>Ayesha Noor</t>
  </si>
  <si>
    <t>Monitor</t>
  </si>
  <si>
    <t>Sum of Total Sales by Region &amp; Product</t>
  </si>
  <si>
    <t>Products</t>
  </si>
  <si>
    <t>South</t>
  </si>
  <si>
    <t>Zainab Malik</t>
  </si>
  <si>
    <t>Mouse</t>
  </si>
  <si>
    <t>Regions</t>
  </si>
  <si>
    <t>Keyboard</t>
  </si>
  <si>
    <t>Laptop</t>
  </si>
  <si>
    <t>Usman Farooq</t>
  </si>
  <si>
    <t>Unit Price Increase</t>
  </si>
  <si>
    <t>West</t>
  </si>
  <si>
    <t>Ali Raza</t>
  </si>
  <si>
    <t>Sara Khan</t>
  </si>
  <si>
    <t>Top 3 Sales Person by Total Sales</t>
  </si>
  <si>
    <t>Sum of Total Sales</t>
  </si>
  <si>
    <t>Mehwish Iqbal</t>
  </si>
  <si>
    <t>Hamza Tariq</t>
  </si>
  <si>
    <t>Date(by Month)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</si>
  <si>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</si>
  <si>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</si>
  <si>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</si>
  <si>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</si>
  <si>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</si>
  <si>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</si>
  <si>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</si>
  <si>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</si>
  <si>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</si>
  <si>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</si>
  <si>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</si>
  <si>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Sum with updated unit price=</t>
  </si>
  <si>
    <t>Sum with original unit price=</t>
  </si>
  <si>
    <t>Week 3 Sales Insights Summary (2024)</t>
  </si>
  <si>
    <t>Overall Performance</t>
  </si>
  <si>
    <r>
      <rPr>
        <b/>
        <sz val="12"/>
        <color theme="1"/>
        <rFont val="Aptos Narrow"/>
        <charset val="134"/>
        <scheme val="minor"/>
      </rPr>
      <t>Total sales:</t>
    </r>
    <r>
      <rPr>
        <sz val="12"/>
        <color theme="1"/>
        <rFont val="Aptos Narrow"/>
        <charset val="134"/>
        <scheme val="minor"/>
      </rPr>
      <t> $500,000 with updated unit prices.</t>
    </r>
  </si>
  <si>
    <r>
      <rPr>
        <b/>
        <sz val="12"/>
        <color theme="1"/>
        <rFont val="Aptos Narrow"/>
        <charset val="134"/>
        <scheme val="minor"/>
      </rPr>
      <t>Original total:</t>
    </r>
    <r>
      <rPr>
        <sz val="12"/>
        <color theme="1"/>
        <rFont val="Aptos Narrow"/>
        <charset val="134"/>
        <scheme val="minor"/>
      </rPr>
      <t> $556,376 — showing a ~10% decline after price adjustments.</t>
    </r>
  </si>
  <si>
    <r>
      <rPr>
        <sz val="12"/>
        <color theme="1"/>
        <rFont val="Aptos Narrow"/>
        <charset val="134"/>
        <scheme val="minor"/>
      </rPr>
      <t xml:space="preserve">Sales remained strong across all months, with visible peaks in </t>
    </r>
    <r>
      <rPr>
        <b/>
        <sz val="12"/>
        <color theme="1"/>
        <rFont val="Aptos Narrow"/>
        <charset val="134"/>
        <scheme val="minor"/>
      </rPr>
      <t>March, May, and October</t>
    </r>
    <r>
      <rPr>
        <sz val="12"/>
        <color theme="1"/>
        <rFont val="Aptos Narrow"/>
        <charset val="134"/>
        <scheme val="minor"/>
      </rPr>
      <t>.</t>
    </r>
  </si>
  <si>
    <t xml:space="preserve"> Regional Breakdown</t>
  </si>
  <si>
    <r>
      <rPr>
        <b/>
        <sz val="12"/>
        <color theme="1"/>
        <rFont val="Aptos Narrow"/>
        <charset val="134"/>
        <scheme val="minor"/>
      </rPr>
      <t>North region</t>
    </r>
    <r>
      <rPr>
        <sz val="12"/>
        <color theme="1"/>
        <rFont val="Aptos Narrow"/>
        <charset val="134"/>
        <scheme val="minor"/>
      </rPr>
      <t xml:space="preserve"> led with ≈ $205 K in total sales.</t>
    </r>
  </si>
  <si>
    <r>
      <rPr>
        <b/>
        <sz val="12"/>
        <color theme="1"/>
        <rFont val="Aptos Narrow"/>
        <charset val="134"/>
        <scheme val="minor"/>
      </rPr>
      <t>West</t>
    </r>
    <r>
      <rPr>
        <sz val="12"/>
        <color theme="1"/>
        <rFont val="Aptos Narrow"/>
        <charset val="134"/>
        <scheme val="minor"/>
      </rPr>
      <t xml:space="preserve"> followed at ≈ $119 K, while </t>
    </r>
    <r>
      <rPr>
        <b/>
        <sz val="12"/>
        <color theme="1"/>
        <rFont val="Aptos Narrow"/>
        <charset val="134"/>
        <scheme val="minor"/>
      </rPr>
      <t>East</t>
    </r>
    <r>
      <rPr>
        <sz val="12"/>
        <color theme="1"/>
        <rFont val="Aptos Narrow"/>
        <charset val="134"/>
        <scheme val="minor"/>
      </rPr>
      <t xml:space="preserve"> and </t>
    </r>
    <r>
      <rPr>
        <b/>
        <sz val="12"/>
        <color theme="1"/>
        <rFont val="Aptos Narrow"/>
        <charset val="134"/>
        <scheme val="minor"/>
      </rPr>
      <t>South</t>
    </r>
    <r>
      <rPr>
        <sz val="12"/>
        <color theme="1"/>
        <rFont val="Aptos Narrow"/>
        <charset val="134"/>
        <scheme val="minor"/>
      </rPr>
      <t xml:space="preserve"> contributed ≈ $82 K and $93 K respectively.</t>
    </r>
  </si>
  <si>
    <r>
      <rPr>
        <sz val="12"/>
        <color theme="1"/>
        <rFont val="Aptos Narrow"/>
        <charset val="134"/>
        <scheme val="minor"/>
      </rPr>
      <t xml:space="preserve">The </t>
    </r>
    <r>
      <rPr>
        <b/>
        <sz val="12"/>
        <color theme="1"/>
        <rFont val="Aptos Narrow"/>
        <charset val="134"/>
        <scheme val="minor"/>
      </rPr>
      <t>North region’s dominance</t>
    </r>
    <r>
      <rPr>
        <sz val="12"/>
        <color theme="1"/>
        <rFont val="Aptos Narrow"/>
        <charset val="134"/>
        <scheme val="minor"/>
      </rPr>
      <t xml:space="preserve"> suggests higher‑performing sales teams or stronger customer demand.</t>
    </r>
  </si>
  <si>
    <t>Top Salespersons</t>
  </si>
  <si>
    <r>
      <rPr>
        <b/>
        <sz val="12"/>
        <color theme="1"/>
        <rFont val="Aptos Narrow"/>
        <charset val="134"/>
        <scheme val="minor"/>
      </rPr>
      <t>Sara Khan</t>
    </r>
    <r>
      <rPr>
        <sz val="12"/>
        <color theme="1"/>
        <rFont val="Aptos Narrow"/>
        <charset val="134"/>
        <scheme val="minor"/>
      </rPr>
      <t xml:space="preserve"> topped the leaderboard with ≈ $155 K in sales.</t>
    </r>
  </si>
  <si>
    <r>
      <rPr>
        <b/>
        <sz val="12"/>
        <color theme="1"/>
        <rFont val="Aptos Narrow"/>
        <charset val="134"/>
        <scheme val="minor"/>
      </rPr>
      <t>Ali Raza</t>
    </r>
    <r>
      <rPr>
        <sz val="12"/>
        <color theme="1"/>
        <rFont val="Aptos Narrow"/>
        <charset val="134"/>
        <scheme val="minor"/>
      </rPr>
      <t xml:space="preserve"> and </t>
    </r>
    <r>
      <rPr>
        <b/>
        <sz val="12"/>
        <color theme="1"/>
        <rFont val="Aptos Narrow"/>
        <charset val="134"/>
        <scheme val="minor"/>
      </rPr>
      <t>Ayesha Noor</t>
    </r>
    <r>
      <rPr>
        <sz val="12"/>
        <color theme="1"/>
        <rFont val="Aptos Narrow"/>
        <charset val="134"/>
        <scheme val="minor"/>
      </rPr>
      <t xml:space="preserve"> followed with ≈ $134 K and $94 K respectively.</t>
    </r>
  </si>
  <si>
    <t>These three together accounted for over 75% of total revenue — a clear concentration of performance.</t>
  </si>
  <si>
    <t>Product Insights</t>
  </si>
  <si>
    <r>
      <rPr>
        <b/>
        <sz val="12"/>
        <color theme="1"/>
        <rFont val="Aptos Narrow"/>
        <charset val="134"/>
        <scheme val="minor"/>
      </rPr>
      <t>Keyboards</t>
    </r>
    <r>
      <rPr>
        <sz val="12"/>
        <color theme="1"/>
        <rFont val="Aptos Narrow"/>
        <charset val="134"/>
        <scheme val="minor"/>
      </rPr>
      <t xml:space="preserve"> generated the highest revenue (≈ $156 K), followed by </t>
    </r>
    <r>
      <rPr>
        <b/>
        <sz val="12"/>
        <color theme="1"/>
        <rFont val="Aptos Narrow"/>
        <charset val="134"/>
        <scheme val="minor"/>
      </rPr>
      <t>Printers ($115 K)</t>
    </r>
    <r>
      <rPr>
        <sz val="12"/>
        <color theme="1"/>
        <rFont val="Aptos Narrow"/>
        <charset val="134"/>
        <scheme val="minor"/>
      </rPr>
      <t xml:space="preserve"> and </t>
    </r>
    <r>
      <rPr>
        <b/>
        <sz val="12"/>
        <color theme="1"/>
        <rFont val="Aptos Narrow"/>
        <charset val="134"/>
        <scheme val="minor"/>
      </rPr>
      <t>Monitors ($86 K)</t>
    </r>
    <r>
      <rPr>
        <sz val="12"/>
        <color theme="1"/>
        <rFont val="Aptos Narrow"/>
        <charset val="134"/>
        <scheme val="minor"/>
      </rPr>
      <t>.</t>
    </r>
  </si>
  <si>
    <r>
      <rPr>
        <b/>
        <sz val="12"/>
        <color theme="1"/>
        <rFont val="Aptos Narrow"/>
        <charset val="134"/>
        <scheme val="minor"/>
      </rPr>
      <t>Laptops</t>
    </r>
    <r>
      <rPr>
        <sz val="12"/>
        <color theme="1"/>
        <rFont val="Aptos Narrow"/>
        <charset val="134"/>
        <scheme val="minor"/>
      </rPr>
      <t xml:space="preserve"> contributed ≈ $42 K, while </t>
    </r>
    <r>
      <rPr>
        <b/>
        <sz val="12"/>
        <color theme="1"/>
        <rFont val="Aptos Narrow"/>
        <charset val="134"/>
        <scheme val="minor"/>
      </rPr>
      <t>Mice</t>
    </r>
    <r>
      <rPr>
        <sz val="12"/>
        <color theme="1"/>
        <rFont val="Aptos Narrow"/>
        <charset val="134"/>
        <scheme val="minor"/>
      </rPr>
      <t xml:space="preserve"> had minimal sales impact.</t>
    </r>
  </si>
  <si>
    <r>
      <rPr>
        <sz val="12"/>
        <color theme="1"/>
        <rFont val="Aptos Narrow"/>
        <charset val="134"/>
        <scheme val="minor"/>
      </rPr>
      <t xml:space="preserve">The </t>
    </r>
    <r>
      <rPr>
        <b/>
        <sz val="12"/>
        <color theme="1"/>
        <rFont val="Aptos Narrow"/>
        <charset val="134"/>
        <scheme val="minor"/>
      </rPr>
      <t>pie chart</t>
    </r>
    <r>
      <rPr>
        <sz val="12"/>
        <color theme="1"/>
        <rFont val="Aptos Narrow"/>
        <charset val="134"/>
        <scheme val="minor"/>
      </rPr>
      <t xml:space="preserve"> confirms keyboards and printers as core revenue drivers.</t>
    </r>
  </si>
  <si>
    <t xml:space="preserve"> Monthly Trend</t>
  </si>
  <si>
    <r>
      <rPr>
        <sz val="12"/>
        <color theme="1"/>
        <rFont val="Aptos Narrow"/>
        <charset val="134"/>
        <scheme val="minor"/>
      </rPr>
      <t xml:space="preserve">The </t>
    </r>
    <r>
      <rPr>
        <b/>
        <sz val="12"/>
        <color theme="1"/>
        <rFont val="Aptos Narrow"/>
        <charset val="134"/>
        <scheme val="minor"/>
      </rPr>
      <t>line chart</t>
    </r>
    <r>
      <rPr>
        <sz val="12"/>
        <color theme="1"/>
        <rFont val="Aptos Narrow"/>
        <charset val="134"/>
        <scheme val="minor"/>
      </rPr>
      <t xml:space="preserve"> shows steady growth through mid‑year, peaking around </t>
    </r>
    <r>
      <rPr>
        <b/>
        <sz val="12"/>
        <color theme="1"/>
        <rFont val="Aptos Narrow"/>
        <charset val="134"/>
        <scheme val="minor"/>
      </rPr>
      <t>June–July</t>
    </r>
    <r>
      <rPr>
        <sz val="12"/>
        <color theme="1"/>
        <rFont val="Aptos Narrow"/>
        <charset val="134"/>
        <scheme val="minor"/>
      </rPr>
      <t>, then tapering slightly toward December.</t>
    </r>
  </si>
  <si>
    <t>Seasonal fluctuations may reflect promotional cycles or regional demand shifts.</t>
  </si>
  <si>
    <t>Key Takeaways</t>
  </si>
  <si>
    <r>
      <rPr>
        <b/>
        <sz val="12"/>
        <color theme="1"/>
        <rFont val="Aptos Narrow"/>
        <charset val="134"/>
        <scheme val="minor"/>
      </rPr>
      <t>North region</t>
    </r>
    <r>
      <rPr>
        <sz val="12"/>
        <color theme="1"/>
        <rFont val="Aptos Narrow"/>
        <charset val="134"/>
        <scheme val="minor"/>
      </rPr>
      <t xml:space="preserve"> and </t>
    </r>
    <r>
      <rPr>
        <b/>
        <sz val="12"/>
        <color theme="1"/>
        <rFont val="Aptos Narrow"/>
        <charset val="134"/>
        <scheme val="minor"/>
      </rPr>
      <t>Sara Khan</t>
    </r>
    <r>
      <rPr>
        <sz val="12"/>
        <color theme="1"/>
        <rFont val="Aptos Narrow"/>
        <charset val="134"/>
        <scheme val="minor"/>
      </rPr>
      <t xml:space="preserve"> are the strongest contributors.</t>
    </r>
  </si>
  <si>
    <r>
      <rPr>
        <b/>
        <sz val="12"/>
        <color theme="1"/>
        <rFont val="Aptos Narrow"/>
        <charset val="134"/>
        <scheme val="minor"/>
      </rPr>
      <t>Keyboard and printer sales</t>
    </r>
    <r>
      <rPr>
        <sz val="12"/>
        <color theme="1"/>
        <rFont val="Aptos Narrow"/>
        <charset val="134"/>
        <scheme val="minor"/>
      </rPr>
      <t xml:space="preserve"> dominate product performance.</t>
    </r>
  </si>
  <si>
    <r>
      <rPr>
        <b/>
        <sz val="12"/>
        <color theme="1"/>
        <rFont val="Aptos Narrow"/>
        <charset val="134"/>
        <scheme val="minor"/>
      </rPr>
      <t>Price adjustments</t>
    </r>
    <r>
      <rPr>
        <sz val="12"/>
        <color theme="1"/>
        <rFont val="Aptos Narrow"/>
        <charset val="134"/>
        <scheme val="minor"/>
      </rPr>
      <t xml:space="preserve"> reduced total revenue but may align with market competitiveness.</t>
    </r>
  </si>
  <si>
    <t>The dashboard’s slicers enable quick filtering by product, region, and salesperson — ideal for management review</t>
  </si>
  <si>
    <t>SALES DASHBOARD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</si>
</sst>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6" formatCode="mm/dd/yyyy"/>
    <numFmt numFmtId="167" formatCode="&quot;$&quot;#,##0.00"/>
  </numFmts>
  <fonts count="16">
    <font>
      <sz val="11"/>
      <color theme="1"/>
      <name val="Aptos Narrow"/>
      <charset val="134"/>
      <scheme val="minor"/>
    </font>
    <font>
      <b/>
      <sz val="20"/>
      <color theme="9"/>
      <name val="Arial Black"/>
      <charset val="134"/>
    </font>
    <font>
      <sz val="20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b/>
      <sz val="11"/>
      <color rgb="FFFFFFFF"/>
      <name val="Arial"/>
      <charset val="1"/>
    </font>
    <font>
      <b/>
      <sz val="11"/>
      <color rgb="FFFFFFFF"/>
      <name val="Arial"/>
      <charset val="134"/>
    </font>
    <font>
      <sz val="10"/>
      <name val="Arial"/>
      <charset val="1"/>
    </font>
    <font>
      <sz val="11"/>
      <color theme="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theme="1"/>
      <name val="Aptos Narrow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333333"/>
      </patternFill>
    </fill>
    <fill>
      <patternFill patternType="solid">
        <fgColor theme="2"/>
        <bgColor rgb="FF333333"/>
      </patternFill>
    </fill>
    <fill>
      <patternFill patternType="solid">
        <fgColor rgb="FF002060"/>
        <bgColor indexed="64"/>
      </patternFill>
    </fill>
  </fills>
  <borders count="22">
    <border>
      <left/>
      <right/>
      <top/>
      <bottom/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/>
      <diagonal/>
    </border>
    <border>
      <left/>
      <right style="thin">
        <color rgb="FF00B050"/>
      </right>
      <top/>
      <bottom/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left" vertical="center" indent="1"/>
    </xf>
    <xf numFmtId="0" fontId="8" fillId="2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166" fontId="10" fillId="0" borderId="9" xfId="0" applyNumberFormat="1" applyFont="1" applyBorder="1"/>
    <xf numFmtId="0" fontId="10" fillId="0" borderId="9" xfId="0" applyFont="1" applyBorder="1"/>
    <xf numFmtId="167" fontId="10" fillId="0" borderId="9" xfId="0" applyNumberFormat="1" applyFont="1" applyBorder="1"/>
    <xf numFmtId="0" fontId="9" fillId="3" borderId="10" xfId="0" applyFont="1" applyFill="1" applyBorder="1" applyAlignment="1">
      <alignment horizontal="center" vertical="center"/>
    </xf>
    <xf numFmtId="167" fontId="0" fillId="0" borderId="0" xfId="0" applyNumberFormat="1"/>
    <xf numFmtId="0" fontId="0" fillId="0" borderId="11" xfId="0" applyBorder="1"/>
    <xf numFmtId="0" fontId="11" fillId="4" borderId="12" xfId="0" applyFont="1" applyFill="1" applyBorder="1"/>
    <xf numFmtId="0" fontId="0" fillId="0" borderId="13" xfId="0" applyBorder="1"/>
    <xf numFmtId="0" fontId="11" fillId="4" borderId="14" xfId="0" applyFont="1" applyFill="1" applyBorder="1"/>
    <xf numFmtId="0" fontId="12" fillId="4" borderId="0" xfId="0" applyFont="1" applyFill="1"/>
    <xf numFmtId="0" fontId="0" fillId="0" borderId="12" xfId="0" applyBorder="1" applyAlignment="1">
      <alignment horizontal="left"/>
    </xf>
    <xf numFmtId="167" fontId="0" fillId="0" borderId="12" xfId="0" applyNumberFormat="1" applyBorder="1"/>
    <xf numFmtId="167" fontId="0" fillId="0" borderId="14" xfId="0" applyNumberFormat="1" applyBorder="1"/>
    <xf numFmtId="9" fontId="0" fillId="0" borderId="0" xfId="0" applyNumberFormat="1"/>
    <xf numFmtId="167" fontId="13" fillId="0" borderId="0" xfId="0" applyNumberFormat="1" applyFont="1"/>
    <xf numFmtId="0" fontId="0" fillId="0" borderId="15" xfId="0" applyBorder="1" applyAlignment="1">
      <alignment horizontal="left"/>
    </xf>
    <xf numFmtId="167" fontId="0" fillId="0" borderId="15" xfId="0" applyNumberFormat="1" applyBorder="1"/>
    <xf numFmtId="167" fontId="0" fillId="0" borderId="16" xfId="0" applyNumberFormat="1" applyBorder="1"/>
    <xf numFmtId="0" fontId="11" fillId="4" borderId="17" xfId="0" applyFont="1" applyFill="1" applyBorder="1" applyAlignment="1">
      <alignment horizontal="left"/>
    </xf>
    <xf numFmtId="167" fontId="0" fillId="0" borderId="17" xfId="0" applyNumberFormat="1" applyBorder="1"/>
    <xf numFmtId="167" fontId="0" fillId="0" borderId="18" xfId="0" applyNumberFormat="1" applyBorder="1"/>
    <xf numFmtId="0" fontId="11" fillId="4" borderId="19" xfId="0" applyFont="1" applyFill="1" applyBorder="1"/>
    <xf numFmtId="167" fontId="0" fillId="0" borderId="19" xfId="0" applyNumberFormat="1" applyBorder="1"/>
    <xf numFmtId="167" fontId="0" fillId="0" borderId="20" xfId="0" applyNumberFormat="1" applyBorder="1"/>
    <xf numFmtId="167" fontId="11" fillId="4" borderId="11" xfId="0" applyNumberFormat="1" applyFont="1" applyFill="1" applyBorder="1"/>
    <xf numFmtId="0" fontId="14" fillId="4" borderId="12" xfId="0" applyFont="1" applyFill="1" applyBorder="1"/>
    <xf numFmtId="0" fontId="14" fillId="4" borderId="19" xfId="0" applyFont="1" applyFill="1" applyBorder="1"/>
    <xf numFmtId="0" fontId="0" fillId="0" borderId="17" xfId="0" applyBorder="1" applyAlignment="1">
      <alignment horizontal="left"/>
    </xf>
    <xf numFmtId="167" fontId="0" fillId="0" borderId="11" xfId="0" applyNumberFormat="1" applyBorder="1"/>
    <xf numFmtId="0" fontId="14" fillId="4" borderId="17" xfId="0" applyFont="1" applyFill="1" applyBorder="1" applyAlignment="1">
      <alignment horizontal="left"/>
    </xf>
    <xf numFmtId="0" fontId="0" fillId="0" borderId="21" xfId="0" applyBorder="1"/>
    <xf numFmtId="167" fontId="15" fillId="0" borderId="0" xfId="0" applyNumberFormat="1" applyFont="1"/>
    <xf numFmtId="0" fontId="15" fillId="0" borderId="0" xfId="0" applyFont="1"/>
    <xf numFmtId="8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51"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3">
    <tableStyle name="Week2Task(Conditional formating-style" pivot="0" count="3" xr9:uid="{22E5E1AA-2A7C-4A2B-8897-BE7DD5DDA0B9}">
      <tableStyleElement type="headerRow" dxfId="50"/>
      <tableStyleElement type="firstRowStripe" dxfId="49"/>
      <tableStyleElement type="secondRowStripe" dxfId="48"/>
    </tableStyle>
    <tableStyle name="Sheet4-style" pivot="0" count="3" xr9:uid="{5BC407FD-C477-4B9A-B746-8D8278619417}">
      <tableStyleElement type="headerRow" dxfId="47"/>
      <tableStyleElement type="firstRowStripe" dxfId="46"/>
      <tableStyleElement type="secondRowStripe" dxfId="45"/>
    </tableStyle>
    <tableStyle name="Week1Task2-style" pivot="0" count="3" xr9:uid="{71AEE478-EB0D-4802-B52E-BB75DC40B0E6}">
      <tableStyleElement type="headerRow" dxfId="44"/>
      <tableStyleElement type="firstRowStripe" dxfId="43"/>
      <tableStyleElement type="secondRowStripe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microsoft.com/office/2007/relationships/slicerCache" Target="slicerCaches/slicerCache7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5.xml"/><Relationship Id="rId5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10" Type="http://schemas.microsoft.com/office/2007/relationships/slicerCache" Target="slicerCaches/slicerCache4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[week3.xlsx]Week3!PivotTable9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013131113411"/>
          <c:y val="0.23616308058985699"/>
          <c:w val="0.722745282762845"/>
          <c:h val="0.536827656292267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Week3!$L$29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Week3!$K$30:$K$31</c:f>
              <c:strCache>
                <c:ptCount val="1"/>
                <c:pt idx="0">
                  <c:v>East</c:v>
                </c:pt>
              </c:strCache>
            </c:strRef>
          </c:cat>
          <c:val>
            <c:numRef>
              <c:f>Week3!$L$30:$L$31</c:f>
              <c:numCache>
                <c:formatCode>"$"#,##0.00</c:formatCode>
                <c:ptCount val="1"/>
                <c:pt idx="0">
                  <c:v>82067.300000000207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F-4EC2-925E-6A700E5F7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6416255"/>
        <c:axId val="616417695"/>
      </c:barChart>
      <c:catAx>
        <c:axId val="61641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17695"/>
        <c:crosses val="autoZero"/>
        <c:auto val="1"/>
        <c:lblAlgn val="ctr"/>
        <c:lblOffset val="100"/>
        <c:noMultiLvlLbl val="0"/>
      </c:catAx>
      <c:valAx>
        <c:axId val="61641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1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52bcf1-8aaa-4c36-aa60-6d98039927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[week3.xlsx]Week3!PivotTable10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16095874489101"/>
          <c:y val="0.28180336832895903"/>
          <c:w val="0.65247082641239895"/>
          <c:h val="0.59421733741615601"/>
        </c:manualLayout>
      </c:layout>
      <c:lineChart>
        <c:grouping val="standard"/>
        <c:varyColors val="0"/>
        <c:ser>
          <c:idx val="0"/>
          <c:order val="0"/>
          <c:tx>
            <c:strRef>
              <c:f>Week3!$Q$29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Week3!$P$30:$P$41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Week3!$Q$30:$Q$41</c:f>
              <c:numCache>
                <c:formatCode>"$"#,##0.00</c:formatCode>
                <c:ptCount val="11"/>
                <c:pt idx="0">
                  <c:v>1127.8399999999999</c:v>
                </c:pt>
                <c:pt idx="1">
                  <c:v>8189.8</c:v>
                </c:pt>
                <c:pt idx="2">
                  <c:v>7933.42</c:v>
                </c:pt>
                <c:pt idx="3">
                  <c:v>1959.8</c:v>
                </c:pt>
                <c:pt idx="4">
                  <c:v>46147.87</c:v>
                </c:pt>
                <c:pt idx="5">
                  <c:v>2892.3</c:v>
                </c:pt>
                <c:pt idx="6">
                  <c:v>16502.919999999998</c:v>
                </c:pt>
                <c:pt idx="7">
                  <c:v>84304.14</c:v>
                </c:pt>
                <c:pt idx="8">
                  <c:v>48791.59</c:v>
                </c:pt>
                <c:pt idx="9">
                  <c:v>-141571.24</c:v>
                </c:pt>
                <c:pt idx="10">
                  <c:v>5788.86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74-44D3-B231-88304B2A3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2146431"/>
        <c:axId val="1932145471"/>
      </c:lineChart>
      <c:catAx>
        <c:axId val="193214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45471"/>
        <c:crosses val="autoZero"/>
        <c:auto val="1"/>
        <c:lblAlgn val="ctr"/>
        <c:lblOffset val="100"/>
        <c:noMultiLvlLbl val="0"/>
      </c:catAx>
      <c:valAx>
        <c:axId val="193214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4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08cb3d-55ba-4134-98cf-cf16d7ef011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[week3.xlsx]Week3!PivotTable12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Week3!$R$13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17-4A2C-8203-7DA56B5B30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17-4A2C-8203-7DA56B5B30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17-4A2C-8203-7DA56B5B30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17-4A2C-8203-7DA56B5B30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E17-4A2C-8203-7DA56B5B3029}"/>
              </c:ext>
            </c:extLst>
          </c:dPt>
          <c:cat>
            <c:strRef>
              <c:f>Week3!$Q$14:$Q$19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Week3!$R$14:$R$19</c:f>
              <c:numCache>
                <c:formatCode>"$"#,##0.00</c:formatCode>
                <c:ptCount val="5"/>
                <c:pt idx="0">
                  <c:v>9785.82</c:v>
                </c:pt>
                <c:pt idx="1">
                  <c:v>131504.66</c:v>
                </c:pt>
                <c:pt idx="2">
                  <c:v>63664.82</c:v>
                </c:pt>
                <c:pt idx="3">
                  <c:v>-152548.59</c:v>
                </c:pt>
                <c:pt idx="4">
                  <c:v>29660.59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17-4A2C-8203-7DA56B5B3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915e1e-8fd0-40bb-afdd-26c1ab8a46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Sales</a:t>
            </a:r>
            <a:r>
              <a:rPr lang="en-US" sz="1600" b="1" baseline="0">
                <a:solidFill>
                  <a:schemeClr val="tx1"/>
                </a:solidFill>
              </a:rPr>
              <a:t> by Region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6895697579726"/>
          <c:y val="0.1147903138260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Keyboard</c:v>
              </c:pt>
              <c:pt idx="1">
                <c:v>Laptop</c:v>
              </c:pt>
              <c:pt idx="2">
                <c:v>Monitor</c:v>
              </c:pt>
              <c:pt idx="3">
                <c:v>Mouse</c:v>
              </c:pt>
              <c:pt idx="4">
                <c:v>Printer</c:v>
              </c:pt>
            </c:strLit>
          </c:cat>
          <c:val>
            <c:numLit>
              <c:formatCode>General</c:formatCode>
              <c:ptCount val="5"/>
              <c:pt idx="0">
                <c:v>633300</c:v>
              </c:pt>
              <c:pt idx="1">
                <c:v>575600</c:v>
              </c:pt>
              <c:pt idx="2">
                <c:v>636600</c:v>
              </c:pt>
              <c:pt idx="3">
                <c:v>736200</c:v>
              </c:pt>
              <c:pt idx="4">
                <c:v>-2081700</c:v>
              </c:pt>
            </c:numLit>
          </c:val>
          <c:extLst>
            <c:ext xmlns:c16="http://schemas.microsoft.com/office/drawing/2014/chart" uri="{C3380CC4-5D6E-409C-BE32-E72D297353CC}">
              <c16:uniqueId val="{00000000-CB9F-4ABD-BAC1-51A230E0A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6585136"/>
        <c:axId val="646592208"/>
      </c:barChart>
      <c:catAx>
        <c:axId val="64658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92208"/>
        <c:crosses val="autoZero"/>
        <c:auto val="1"/>
        <c:lblAlgn val="ctr"/>
        <c:lblOffset val="100"/>
        <c:noMultiLvlLbl val="0"/>
      </c:catAx>
      <c:valAx>
        <c:axId val="64659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8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0639cf-5dea-47bc-b86a-0f910668149b}"/>
      </c:ext>
    </c:extLst>
  </c:chart>
  <c:spPr>
    <a:solidFill>
      <a:schemeClr val="bg1"/>
    </a:solidFill>
    <a:ln w="25400" cap="flat" cmpd="sng" algn="ctr">
      <a:solidFill>
        <a:schemeClr val="accent2">
          <a:lumMod val="60000"/>
          <a:lumOff val="40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Monthly</a:t>
            </a:r>
            <a:r>
              <a:rPr lang="en-US" sz="1600" b="1" baseline="0">
                <a:solidFill>
                  <a:schemeClr val="tx1"/>
                </a:solidFill>
              </a:rPr>
              <a:t> sales Trend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709147377327401"/>
          <c:y val="0.1191764216247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</c:strLit>
          </c:cat>
          <c:val>
            <c:numLit>
              <c:formatCode>General</c:formatCode>
              <c:ptCount val="4"/>
              <c:pt idx="0">
                <c:v>990700</c:v>
              </c:pt>
              <c:pt idx="1">
                <c:v>998300</c:v>
              </c:pt>
              <c:pt idx="2">
                <c:v>-1846000</c:v>
              </c:pt>
              <c:pt idx="3">
                <c:v>357000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D84-49C1-A5B0-228CF55DB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4951040"/>
        <c:axId val="644944800"/>
      </c:lineChart>
      <c:catAx>
        <c:axId val="64495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44800"/>
        <c:crosses val="autoZero"/>
        <c:auto val="1"/>
        <c:lblAlgn val="ctr"/>
        <c:lblOffset val="100"/>
        <c:noMultiLvlLbl val="0"/>
      </c:catAx>
      <c:valAx>
        <c:axId val="64494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5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20bc14-1cec-488e-afb4-31183a94acac}"/>
      </c:ext>
    </c:extLst>
  </c:chart>
  <c:spPr>
    <a:solidFill>
      <a:schemeClr val="bg1"/>
    </a:soli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Sales</a:t>
            </a:r>
            <a:r>
              <a:rPr lang="en-US" sz="1800" b="1" baseline="0">
                <a:solidFill>
                  <a:schemeClr val="tx1"/>
                </a:solidFill>
              </a:rPr>
              <a:t> by product</a:t>
            </a:r>
          </a:p>
        </c:rich>
      </c:tx>
      <c:layout>
        <c:manualLayout>
          <c:xMode val="edge"/>
          <c:yMode val="edge"/>
          <c:x val="0.26357389104027301"/>
          <c:y val="0.12879536382134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41-4F5F-8ED7-8141C94A15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41-4F5F-8ED7-8141C94A15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41-4F5F-8ED7-8141C94A15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41-4F5F-8ED7-8141C94A15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41-4F5F-8ED7-8141C94A152D}"/>
              </c:ext>
            </c:extLst>
          </c:dPt>
          <c:cat>
            <c:strLit>
              <c:ptCount val="5"/>
              <c:pt idx="0">
                <c:v>Keyboard</c:v>
              </c:pt>
              <c:pt idx="1">
                <c:v>Laptop</c:v>
              </c:pt>
              <c:pt idx="2">
                <c:v>Monitor</c:v>
              </c:pt>
              <c:pt idx="3">
                <c:v>Mouse</c:v>
              </c:pt>
              <c:pt idx="4">
                <c:v>Printer</c:v>
              </c:pt>
            </c:strLit>
          </c:cat>
          <c:val>
            <c:numLit>
              <c:formatCode>General</c:formatCode>
              <c:ptCount val="5"/>
              <c:pt idx="0">
                <c:v>633300</c:v>
              </c:pt>
              <c:pt idx="1">
                <c:v>575600</c:v>
              </c:pt>
              <c:pt idx="2">
                <c:v>636600</c:v>
              </c:pt>
              <c:pt idx="3">
                <c:v>736200</c:v>
              </c:pt>
              <c:pt idx="4">
                <c:v>-2081700</c:v>
              </c:pt>
            </c:numLit>
          </c:val>
          <c:extLst>
            <c:ext xmlns:c16="http://schemas.microsoft.com/office/drawing/2014/chart" uri="{C3380CC4-5D6E-409C-BE32-E72D297353CC}">
              <c16:uniqueId val="{0000000A-9E41-4F5F-8ED7-8141C94A1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304030-713e-40e0-aa8e-739ca4eeb31c}"/>
      </c:ext>
    </c:extLst>
  </c:chart>
  <c:spPr>
    <a:solidFill>
      <a:schemeClr val="bg1"/>
    </a:solidFill>
    <a:ln w="25400" cap="flat" cmpd="sng" algn="ctr">
      <a:solidFill>
        <a:srgbClr val="92D050"/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tx1"/>
                </a:solidFill>
              </a:rPr>
              <a:t>Top Performing Salespersons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832686332383697"/>
          <c:y val="0.126155639993265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8"/>
              <c:pt idx="0">
                <c:v>Fatima</c:v>
              </c:pt>
              <c:pt idx="1">
                <c:v>Ali</c:v>
              </c:pt>
              <c:pt idx="2">
                <c:v>Sara</c:v>
              </c:pt>
              <c:pt idx="3">
                <c:v>Ayesha</c:v>
              </c:pt>
              <c:pt idx="4">
                <c:v>Usman</c:v>
              </c:pt>
              <c:pt idx="5">
                <c:v>Bilal</c:v>
              </c:pt>
              <c:pt idx="6">
                <c:v>Hamza</c:v>
              </c:pt>
              <c:pt idx="7">
                <c:v>Ahmed</c:v>
              </c:pt>
            </c:strLit>
          </c:cat>
          <c:val>
            <c:numLit>
              <c:formatCode>General</c:formatCode>
              <c:ptCount val="8"/>
              <c:pt idx="0">
                <c:v>482800</c:v>
              </c:pt>
              <c:pt idx="1">
                <c:v>446100</c:v>
              </c:pt>
              <c:pt idx="2">
                <c:v>409800</c:v>
              </c:pt>
              <c:pt idx="3">
                <c:v>409100</c:v>
              </c:pt>
              <c:pt idx="4">
                <c:v>371000</c:v>
              </c:pt>
              <c:pt idx="5">
                <c:v>350300</c:v>
              </c:pt>
              <c:pt idx="6">
                <c:v>323100</c:v>
              </c:pt>
              <c:pt idx="7">
                <c:v>-2292200</c:v>
              </c:pt>
            </c:numLit>
          </c:val>
          <c:extLst>
            <c:ext xmlns:c16="http://schemas.microsoft.com/office/drawing/2014/chart" uri="{C3380CC4-5D6E-409C-BE32-E72D297353CC}">
              <c16:uniqueId val="{00000000-AA97-40FD-85E5-ED1955563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8947007"/>
        <c:axId val="1368951999"/>
      </c:barChart>
      <c:catAx>
        <c:axId val="136894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951999"/>
        <c:crosses val="autoZero"/>
        <c:auto val="1"/>
        <c:lblAlgn val="ctr"/>
        <c:lblOffset val="100"/>
        <c:noMultiLvlLbl val="0"/>
      </c:catAx>
      <c:valAx>
        <c:axId val="13689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94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f6765e-7164-4a05-b8ae-a523e9032ce0}"/>
      </c:ext>
    </c:extLst>
  </c:chart>
  <c:spPr>
    <a:solidFill>
      <a:schemeClr val="bg1"/>
    </a:solidFill>
    <a:ln w="25400" cap="flat" cmpd="sng" algn="ctr">
      <a:solidFill>
        <a:srgbClr val="FFC000"/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130097</xdr:colOff>
      <xdr:row>27</xdr:row>
      <xdr:rowOff>175259</xdr:rowOff>
    </xdr:from>
    <xdr:to>
      <xdr:col>32</xdr:col>
      <xdr:colOff>55570</xdr:colOff>
      <xdr:row>42</xdr:row>
      <xdr:rowOff>167639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236220</xdr:colOff>
      <xdr:row>28</xdr:row>
      <xdr:rowOff>0</xdr:rowOff>
    </xdr:from>
    <xdr:to>
      <xdr:col>23</xdr:col>
      <xdr:colOff>655320</xdr:colOff>
      <xdr:row>42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274886</xdr:colOff>
      <xdr:row>28</xdr:row>
      <xdr:rowOff>4182</xdr:rowOff>
    </xdr:from>
    <xdr:to>
      <xdr:col>40</xdr:col>
      <xdr:colOff>56136</xdr:colOff>
      <xdr:row>43</xdr:row>
      <xdr:rowOff>4182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615834</xdr:colOff>
      <xdr:row>11</xdr:row>
      <xdr:rowOff>94211</xdr:rowOff>
    </xdr:from>
    <xdr:to>
      <xdr:col>21</xdr:col>
      <xdr:colOff>54725</xdr:colOff>
      <xdr:row>25</xdr:row>
      <xdr:rowOff>8486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78900" y="2021840"/>
              <a:ext cx="2089150" cy="2367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126076</xdr:colOff>
      <xdr:row>11</xdr:row>
      <xdr:rowOff>106680</xdr:rowOff>
    </xdr:from>
    <xdr:to>
      <xdr:col>23</xdr:col>
      <xdr:colOff>569423</xdr:colOff>
      <xdr:row>25</xdr:row>
      <xdr:rowOff>20955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Total Sales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Sales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39170" y="2034540"/>
              <a:ext cx="1983740" cy="2367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4849</xdr:colOff>
      <xdr:row>11</xdr:row>
      <xdr:rowOff>77585</xdr:rowOff>
    </xdr:from>
    <xdr:to>
      <xdr:col>26</xdr:col>
      <xdr:colOff>378922</xdr:colOff>
      <xdr:row>25</xdr:row>
      <xdr:rowOff>6514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Product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04850" y="2005330"/>
              <a:ext cx="1990725" cy="2382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524396</xdr:colOff>
      <xdr:row>11</xdr:row>
      <xdr:rowOff>77586</xdr:rowOff>
    </xdr:from>
    <xdr:to>
      <xdr:col>29</xdr:col>
      <xdr:colOff>153785</xdr:colOff>
      <xdr:row>25</xdr:row>
      <xdr:rowOff>6515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Date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40990" y="2005330"/>
              <a:ext cx="2067560" cy="2382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217025</xdr:colOff>
      <xdr:row>25</xdr:row>
      <xdr:rowOff>168797</xdr:rowOff>
    </xdr:from>
    <xdr:to>
      <xdr:col>7</xdr:col>
      <xdr:colOff>521825</xdr:colOff>
      <xdr:row>40</xdr:row>
      <xdr:rowOff>52085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253197</xdr:colOff>
      <xdr:row>10</xdr:row>
      <xdr:rowOff>72343</xdr:rowOff>
    </xdr:from>
    <xdr:to>
      <xdr:col>15</xdr:col>
      <xdr:colOff>557997</xdr:colOff>
      <xdr:row>24</xdr:row>
      <xdr:rowOff>148543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241140</xdr:colOff>
      <xdr:row>10</xdr:row>
      <xdr:rowOff>42700</xdr:rowOff>
    </xdr:from>
    <xdr:to>
      <xdr:col>7</xdr:col>
      <xdr:colOff>545940</xdr:colOff>
      <xdr:row>24</xdr:row>
      <xdr:rowOff>118900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115821</xdr:colOff>
      <xdr:row>0</xdr:row>
      <xdr:rowOff>29046</xdr:rowOff>
    </xdr:from>
    <xdr:to>
      <xdr:col>18</xdr:col>
      <xdr:colOff>91706</xdr:colOff>
      <xdr:row>7</xdr:row>
      <xdr:rowOff>41104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onth 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02570" y="28575"/>
              <a:ext cx="2033270" cy="12388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253196</xdr:colOff>
      <xdr:row>0</xdr:row>
      <xdr:rowOff>36171</xdr:rowOff>
    </xdr:from>
    <xdr:to>
      <xdr:col>24</xdr:col>
      <xdr:colOff>237280</xdr:colOff>
      <xdr:row>10</xdr:row>
      <xdr:rowOff>72342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alesperson 1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54530" y="35560"/>
              <a:ext cx="2041525" cy="1788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470221</xdr:colOff>
      <xdr:row>3</xdr:row>
      <xdr:rowOff>84399</xdr:rowOff>
    </xdr:from>
    <xdr:to>
      <xdr:col>3</xdr:col>
      <xdr:colOff>217025</xdr:colOff>
      <xdr:row>8</xdr:row>
      <xdr:rowOff>36171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69900" y="609600"/>
          <a:ext cx="1804035" cy="8280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000" b="1">
              <a:solidFill>
                <a:sysClr val="windowText" lastClr="000000"/>
              </a:solidFill>
              <a:latin typeface="+mn-lt"/>
            </a:rPr>
            <a:t>TOTAL SALES 500000</a:t>
          </a:r>
          <a:endParaRPr lang="en-US" altLang="en-US" sz="20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3</xdr:col>
      <xdr:colOff>482277</xdr:colOff>
      <xdr:row>3</xdr:row>
      <xdr:rowOff>84400</xdr:rowOff>
    </xdr:from>
    <xdr:to>
      <xdr:col>6</xdr:col>
      <xdr:colOff>554621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2539365" y="609600"/>
          <a:ext cx="2129790" cy="7924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000" b="1">
              <a:solidFill>
                <a:sysClr val="windowText" lastClr="000000"/>
              </a:solidFill>
              <a:latin typeface="+mn-lt"/>
            </a:rPr>
            <a:t>TOTAL QUANTITY 500</a:t>
          </a:r>
          <a:endParaRPr lang="en-US" altLang="en-US" sz="20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7</xdr:col>
      <xdr:colOff>168798</xdr:colOff>
      <xdr:row>3</xdr:row>
      <xdr:rowOff>60285</xdr:rowOff>
    </xdr:from>
    <xdr:to>
      <xdr:col>9</xdr:col>
      <xdr:colOff>530506</xdr:colOff>
      <xdr:row>8</xdr:row>
      <xdr:rowOff>12057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68875" y="585470"/>
          <a:ext cx="1733550" cy="8280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000" b="1">
              <a:solidFill>
                <a:sysClr val="windowText" lastClr="000000"/>
              </a:solidFill>
              <a:latin typeface="+mn-lt"/>
            </a:rPr>
            <a:t>TOTAL ORDERS</a:t>
          </a:r>
          <a:r>
            <a:rPr lang="en-US" sz="2000" b="1" baseline="0">
              <a:solidFill>
                <a:sysClr val="windowText" lastClr="000000"/>
              </a:solidFill>
              <a:latin typeface="+mn-lt"/>
            </a:rPr>
            <a:t> 100</a:t>
          </a:r>
          <a:endParaRPr lang="en-US" altLang="en-US" sz="20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8</xdr:col>
      <xdr:colOff>188252</xdr:colOff>
      <xdr:row>25</xdr:row>
      <xdr:rowOff>180580</xdr:rowOff>
    </xdr:from>
    <xdr:to>
      <xdr:col>15</xdr:col>
      <xdr:colOff>455917</xdr:colOff>
      <xdr:row>40</xdr:row>
      <xdr:rowOff>28191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204968</xdr:colOff>
      <xdr:row>0</xdr:row>
      <xdr:rowOff>48228</xdr:rowOff>
    </xdr:from>
    <xdr:to>
      <xdr:col>21</xdr:col>
      <xdr:colOff>189053</xdr:colOff>
      <xdr:row>8</xdr:row>
      <xdr:rowOff>120570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roduct 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48870" y="47625"/>
              <a:ext cx="2041525" cy="1474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areerLaunchPad-II%20Weekly%20Files\CLP_II_Week3_DataAnalysis\Sales%20Data%20Analysis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Khan" refreshedDate="46231.859408101896" createdVersion="8" refreshedVersion="8" minRefreshableVersion="3" recordCount="124" xr:uid="{00000000-000A-0000-FFFF-FFFF00000000}">
  <cacheSource type="worksheet">
    <worksheetSource ref="A1:I125" sheet="Week3"/>
  </cacheSource>
  <cacheFields count="9">
    <cacheField name="Date" numFmtId="0">
      <sharedItems containsSemiMixedTypes="0" containsNonDate="0" containsString="0"/>
    </cacheField>
    <cacheField name="Region" numFmtId="0">
      <sharedItems containsBlank="1" count="5">
        <s v="East"/>
        <s v="North"/>
        <s v="South"/>
        <s v="West"/>
        <m/>
      </sharedItems>
    </cacheField>
    <cacheField name="Salesperson" numFmtId="0">
      <sharedItems containsSemiMixedTypes="0" containsNonDate="0" containsString="0"/>
    </cacheField>
    <cacheField name="Product" numFmtId="0">
      <sharedItems containsBlank="1" count="6">
        <s v="Printer"/>
        <s v="Monitor"/>
        <s v="Mouse"/>
        <s v="Keyboard"/>
        <s v="Laptop"/>
        <m/>
      </sharedItems>
    </cacheField>
    <cacheField name="Quantity" numFmtId="0">
      <sharedItems containsSemiMixedTypes="0" containsNonDate="0" containsString="0"/>
    </cacheField>
    <cacheField name="Unit Price" numFmtId="0">
      <sharedItems containsSemiMixedTypes="0" containsNonDate="0" containsString="0"/>
    </cacheField>
    <cacheField name="Total Sales" numFmtId="0">
      <sharedItems containsMixedTypes="1" containsNumber="1" count="123">
        <n v="1127.8399999999999"/>
        <n v="6730.56"/>
        <n v="922.78"/>
        <n v="7022.7"/>
        <n v="877.02"/>
        <n v="5446.35"/>
        <n v="909.92"/>
        <n v="991.64"/>
        <n v="3253.88"/>
        <n v="16089.48"/>
        <n v="174.16"/>
        <n v="4040.14"/>
        <n v="589.44000000000005"/>
        <n v="36955.379999999997"/>
        <n v="39456.269999999997"/>
        <n v="853.65"/>
        <n v="2706.57"/>
        <n v="536.49"/>
        <n v="1469.98"/>
        <n v="5871.53"/>
        <n v="8660.0499999999993"/>
        <n v="4335.8"/>
        <n v="865.16"/>
        <n v="1572.45"/>
        <n v="129.57"/>
        <n v="5742"/>
        <n v="5955.6"/>
        <n v="521.64"/>
        <n v="2191.42"/>
        <n v="509.5"/>
        <n v="14038.88"/>
        <n v="1252.8"/>
        <n v="146.96"/>
        <n v="2024"/>
        <n v="560.04"/>
        <n v="5627.75"/>
        <n v="6276.66"/>
        <n v="3823.47"/>
        <n v="8106.7"/>
        <n v="11063.04"/>
        <n v="4445.82"/>
        <n v="21488.75"/>
        <n v="7240.2"/>
        <n v="4070.36"/>
        <n v="6689.98"/>
        <n v="1043.56"/>
        <n v="13363.36"/>
        <n v="257.18"/>
        <n v="19112"/>
        <n v="1827.21"/>
        <n v="7537.92"/>
        <n v="1273"/>
        <n v="694.12"/>
        <n v="1269.51"/>
        <n v="478.8"/>
        <n v="1622.79"/>
        <n v="13767.68"/>
        <n v="251.28"/>
        <n v="238.56"/>
        <n v="1163.96"/>
        <n v="3228.84"/>
        <n v="1332.72"/>
        <n v="5329.11"/>
        <n v="344"/>
        <n v="18554.36"/>
        <n v="552.16"/>
        <n v="3259"/>
        <n v="6202"/>
        <n v="1209.5"/>
        <n v="24581.7"/>
        <n v="27608.76"/>
        <n v="2333.1"/>
        <n v="6600.69"/>
        <n v="37909.08"/>
        <n v="769.88"/>
        <n v="442.06"/>
        <n v="613.92999999999995"/>
        <n v="963.24"/>
        <n v="15246.93"/>
        <n v="36.9"/>
        <n v="12725.69"/>
        <n v="3662.25"/>
        <n v="9594.06"/>
        <n v="5019.84"/>
        <n v="346.14"/>
        <n v="4481.91"/>
        <n v="7602.72"/>
        <n v="3792.36"/>
        <n v="38908.35"/>
        <n v="2102.52"/>
        <n v="1947.5"/>
        <n v="885.48"/>
        <n v="506.52"/>
        <n v="600.29999999999995"/>
        <n v="11214.83"/>
        <n v="21.77"/>
        <n v="11075.85"/>
        <n v="4166.25"/>
        <n v="1433.7"/>
        <n v="4442.22"/>
        <n v="7688.1"/>
        <n v="284.41000000000003"/>
        <n v="832.3"/>
        <n v="8012.57"/>
        <n v="2477.4"/>
        <n v="1795.2"/>
        <n v="10582.88"/>
        <n v="866.64"/>
        <n v="749.52"/>
        <n v="604.64"/>
        <n v="341.73"/>
        <n v="3470.48"/>
        <n v="-156247.67999999999"/>
        <n v="4940.54"/>
        <n v="109"/>
        <n v="280.5"/>
        <n v="297.44"/>
        <n v="2600.3200000000002"/>
        <n v="848.32"/>
        <s v="Sum with updated unit price="/>
        <n v="500000"/>
        <s v="Sum with original unit price="/>
        <n v="656978.07999999996"/>
      </sharedItems>
    </cacheField>
    <cacheField name="Month" numFmtId="0">
      <sharedItems containsSemiMixedTypes="0" containsNonDate="0" containsString="0"/>
    </cacheField>
    <cacheField name="Year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Khan" refreshedDate="46231.870174652802" createdVersion="8" refreshedVersion="8" minRefreshableVersion="3" recordCount="120" xr:uid="{00000000-000A-0000-FFFF-FFFF01000000}">
  <cacheSource type="worksheet">
    <worksheetSource ref="A1:G121" sheet="Week3"/>
  </cacheSource>
  <cacheFields count="9">
    <cacheField name="Date" numFmtId="166">
      <sharedItems containsSemiMixedTypes="0" containsNonDate="0" containsDate="1" containsString="0" minDate="2024-01-02T00:00:00" maxDate="2024-12-31T00:00:00" count="104">
        <d v="2024-01-02T00:00:00"/>
        <d v="2024-01-08T00:00:00"/>
        <d v="2024-01-13T00:00:00"/>
        <d v="2024-01-14T00:00:00"/>
        <d v="2024-01-15T00:00:00"/>
        <d v="2024-01-23T00:00:00"/>
        <d v="2024-01-28T00:00:00"/>
        <d v="2024-01-29T00:00:00"/>
        <d v="2024-01-30T00:00:00"/>
        <d v="2024-01-31T00:00:00"/>
        <d v="2024-02-05T00:00:00"/>
        <d v="2024-02-08T00:00:00"/>
        <d v="2024-02-10T00:00:00"/>
        <d v="2024-02-17T00:00:00"/>
        <d v="2024-02-19T00:00:00"/>
        <d v="2024-02-22T00:00:00"/>
        <d v="2024-02-23T00:00:00"/>
        <d v="2024-02-25T00:00:00"/>
        <d v="2024-03-02T00:00:00"/>
        <d v="2024-03-03T00:00:00"/>
        <d v="2024-03-05T00:00:00"/>
        <d v="2024-03-06T00:00:00"/>
        <d v="2024-03-08T00:00:00"/>
        <d v="2024-03-11T00:00:00"/>
        <d v="2024-03-19T00:00:00"/>
        <d v="2024-03-20T00:00:00"/>
        <d v="2024-03-22T00:00:00"/>
        <d v="2024-04-11T00:00:00"/>
        <d v="2024-04-12T00:00:00"/>
        <d v="2024-04-14T00:00:00"/>
        <d v="2024-04-17T00:00:00"/>
        <d v="2024-04-18T00:00:00"/>
        <d v="2024-04-19T00:00:00"/>
        <d v="2024-04-26T00:00:00"/>
        <d v="2024-04-29T00:00:00"/>
        <d v="2024-05-01T00:00:00"/>
        <d v="2024-05-02T00:00:00"/>
        <d v="2024-05-06T00:00:00"/>
        <d v="2024-05-07T00:00:00"/>
        <d v="2024-05-13T00:00:00"/>
        <d v="2024-05-15T00:00:00"/>
        <d v="2024-05-16T00:00:00"/>
        <d v="2024-05-21T00:00:00"/>
        <d v="2024-05-22T00:00:00"/>
        <d v="2024-05-28T00:00:00"/>
        <d v="2024-06-01T00:00:00"/>
        <d v="2024-06-08T00:00:00"/>
        <d v="2024-06-09T00:00:00"/>
        <d v="2024-06-18T00:00:00"/>
        <d v="2024-06-21T00:00:00"/>
        <d v="2024-06-30T00:00:00"/>
        <d v="2024-07-04T00:00:00"/>
        <d v="2024-07-13T00:00:00"/>
        <d v="2024-07-18T00:00:00"/>
        <d v="2024-07-27T00:00:00"/>
        <d v="2024-07-28T00:00:00"/>
        <d v="2024-08-03T00:00:00"/>
        <d v="2024-08-04T00:00:00"/>
        <d v="2024-08-06T00:00:00"/>
        <d v="2024-08-12T00:00:00"/>
        <d v="2024-08-18T00:00:00"/>
        <d v="2024-08-19T00:00:00"/>
        <d v="2024-08-22T00:00:00"/>
        <d v="2024-08-23T00:00:00"/>
        <d v="2024-08-24T00:00:00"/>
        <d v="2024-08-26T00:00:00"/>
        <d v="2024-08-27T00:00:00"/>
        <d v="2024-08-28T00:00:00"/>
        <d v="2024-09-07T00:00:00"/>
        <d v="2024-09-14T00:00:00"/>
        <d v="2024-09-18T00:00:00"/>
        <d v="2024-09-28T00:00:00"/>
        <d v="2024-10-01T00:00:00"/>
        <d v="2024-10-03T00:00:00"/>
        <d v="2024-10-06T00:00:00"/>
        <d v="2024-10-07T00:00:00"/>
        <d v="2024-10-08T00:00:00"/>
        <d v="2024-10-11T00:00:00"/>
        <d v="2024-10-13T00:00:00"/>
        <d v="2024-10-14T00:00:00"/>
        <d v="2024-10-15T00:00:00"/>
        <d v="2024-10-18T00:00:00"/>
        <d v="2024-10-19T00:00:00"/>
        <d v="2024-10-23T00:00:00"/>
        <d v="2024-10-25T00:00:00"/>
        <d v="2024-10-26T00:00:00"/>
        <d v="2024-10-28T00:00:00"/>
        <d v="2024-10-30T00:00:00"/>
        <d v="2024-11-04T00:00:00"/>
        <d v="2024-11-06T00:00:00"/>
        <d v="2024-11-08T00:00:00"/>
        <d v="2024-11-14T00:00:00"/>
        <d v="2024-11-17T00:00:00"/>
        <d v="2024-11-20T00:00:00"/>
        <d v="2024-11-21T00:00:00"/>
        <d v="2024-11-22T00:00:00"/>
        <d v="2024-11-23T00:00:00"/>
        <d v="2024-11-25T00:00:00"/>
        <d v="2024-11-29T00:00:00"/>
        <d v="2024-12-05T00:00:00"/>
        <d v="2024-12-09T00:00:00"/>
        <d v="2024-12-18T00:00:00"/>
        <d v="2024-12-22T00:00:00"/>
        <d v="2024-12-31T00:00:00"/>
      </sharedItems>
    </cacheField>
    <cacheField name="Region" numFmtId="0">
      <sharedItems count="4">
        <s v="East"/>
        <s v="North"/>
        <s v="South"/>
        <s v="West"/>
      </sharedItems>
    </cacheField>
    <cacheField name="Salesperson" numFmtId="0">
      <sharedItems count="8">
        <s v="Bilal Ahmed"/>
        <s v="Ayesha Noor"/>
        <s v="Zainab Malik"/>
        <s v="Usman Farooq"/>
        <s v="Ali Raza"/>
        <s v="Sara Khan"/>
        <s v="Mehwish Iqbal"/>
        <s v="Hamza Tariq"/>
      </sharedItems>
    </cacheField>
    <cacheField name="Product" numFmtId="0">
      <sharedItems count="5">
        <s v="Printer"/>
        <s v="Monitor"/>
        <s v="Mouse"/>
        <s v="Keyboard"/>
        <s v="Laptop"/>
      </sharedItems>
    </cacheField>
    <cacheField name="Quantity" numFmtId="0">
      <sharedItems containsSemiMixedTypes="0" containsNonDate="0" containsString="0"/>
    </cacheField>
    <cacheField name="Unit Price" numFmtId="167">
      <sharedItems containsSemiMixedTypes="0" containsNonDate="0" containsString="0"/>
    </cacheField>
    <cacheField name="Total Sales" numFmtId="167">
      <sharedItems containsSemiMixedTypes="0" containsString="0" containsNumber="1" minValue="-156247.67999999999" maxValue="39456.269999999997" count="119">
        <n v="1127.8399999999999"/>
        <n v="6730.56"/>
        <n v="922.78"/>
        <n v="7022.7"/>
        <n v="877.02"/>
        <n v="5446.35"/>
        <n v="909.92"/>
        <n v="991.64"/>
        <n v="3253.88"/>
        <n v="16089.48"/>
        <n v="174.16"/>
        <n v="4040.14"/>
        <n v="589.44000000000005"/>
        <n v="36955.379999999997"/>
        <n v="39456.269999999997"/>
        <n v="853.65"/>
        <n v="2706.57"/>
        <n v="536.49"/>
        <n v="1469.98"/>
        <n v="5871.53"/>
        <n v="8660.0499999999993"/>
        <n v="4335.8"/>
        <n v="865.16"/>
        <n v="1572.45"/>
        <n v="129.57"/>
        <n v="5742"/>
        <n v="5955.6"/>
        <n v="521.64"/>
        <n v="2191.42"/>
        <n v="509.5"/>
        <n v="14038.88"/>
        <n v="1252.8"/>
        <n v="146.96"/>
        <n v="2024"/>
        <n v="560.04"/>
        <n v="5627.75"/>
        <n v="6276.66"/>
        <n v="3823.47"/>
        <n v="8106.7"/>
        <n v="11063.04"/>
        <n v="4445.82"/>
        <n v="21488.75"/>
        <n v="7240.2"/>
        <n v="4070.36"/>
        <n v="6689.98"/>
        <n v="1043.56"/>
        <n v="13363.36"/>
        <n v="257.18"/>
        <n v="19112"/>
        <n v="1827.21"/>
        <n v="7537.92"/>
        <n v="1273"/>
        <n v="694.12"/>
        <n v="1269.51"/>
        <n v="478.8"/>
        <n v="1622.79"/>
        <n v="13767.68"/>
        <n v="251.28"/>
        <n v="238.56"/>
        <n v="1163.96"/>
        <n v="3228.84"/>
        <n v="1332.72"/>
        <n v="5329.11"/>
        <n v="344"/>
        <n v="18554.36"/>
        <n v="552.16"/>
        <n v="3259"/>
        <n v="6202"/>
        <n v="1209.5"/>
        <n v="24581.7"/>
        <n v="27608.76"/>
        <n v="2333.1"/>
        <n v="6600.69"/>
        <n v="37909.08"/>
        <n v="769.88"/>
        <n v="442.06"/>
        <n v="613.92999999999995"/>
        <n v="963.24"/>
        <n v="15246.93"/>
        <n v="36.9"/>
        <n v="12725.69"/>
        <n v="3662.25"/>
        <n v="9594.06"/>
        <n v="5019.84"/>
        <n v="346.14"/>
        <n v="4481.91"/>
        <n v="7602.72"/>
        <n v="3792.36"/>
        <n v="38908.35"/>
        <n v="2102.52"/>
        <n v="1947.5"/>
        <n v="885.48"/>
        <n v="506.52"/>
        <n v="600.29999999999995"/>
        <n v="11214.83"/>
        <n v="21.77"/>
        <n v="11075.85"/>
        <n v="4166.25"/>
        <n v="1433.7"/>
        <n v="4442.22"/>
        <n v="7688.1"/>
        <n v="284.41000000000003"/>
        <n v="832.3"/>
        <n v="8012.57"/>
        <n v="2477.4"/>
        <n v="1795.2"/>
        <n v="10582.88"/>
        <n v="866.64"/>
        <n v="749.52"/>
        <n v="604.64"/>
        <n v="341.73"/>
        <n v="3470.48"/>
        <n v="-156247.67999999999"/>
        <n v="4940.54"/>
        <n v="109"/>
        <n v="280.5"/>
        <n v="297.44"/>
        <n v="2600.3200000000002"/>
        <n v="848.32"/>
      </sharedItems>
    </cacheField>
    <cacheField name="Days (Date)" numFmtId="0" databaseField="0">
      <fieldGroup base="0">
        <rangePr groupBy="days" startDate="2024-01-02T00:00:00" endDate="2025-01-01T00:00:00"/>
        <groupItems count="368">
          <s v="&lt;1/2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5"/>
        </groupItems>
      </fieldGroup>
    </cacheField>
    <cacheField name="Months (Date)" numFmtId="0" databaseField="0">
      <fieldGroup base="0">
        <rangePr groupBy="months" startDate="2024-01-02T00:00:00" endDate="2025-01-01T00:00:00"/>
        <groupItems count="14">
          <s v="&lt;1/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7.449337731501" createdVersion="6" refreshedVersion="6" minRefreshableVersion="3" recordCount="100" xr:uid="{00000000-000A-0000-FFFF-FFFF02000000}">
  <cacheSource type="worksheet">
    <worksheetSource ref="A1:I101" sheet="Clean Data" r:id="rId2"/>
  </cacheSource>
  <cacheFields count="9">
    <cacheField name="Date" numFmtId="0">
      <sharedItems containsSemiMixedTypes="0" containsNonDate="0" containsDate="1" containsString="0" minDate="2026-01-01T00:00:00" maxDate="2026-04-11T00:00:00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8">
        <s v="Ali"/>
        <s v="Ahmed"/>
        <s v="Sara"/>
        <s v="Ayesha"/>
        <s v="Usman"/>
        <s v="Bilal"/>
        <s v="Fatima"/>
        <s v="Hamza"/>
      </sharedItems>
    </cacheField>
    <cacheField name="Product" numFmtId="0">
      <sharedItems containsBlank="1" count="6">
        <s v="Laptop"/>
        <s v="Mouse"/>
        <s v="Keyboard"/>
        <s v="Monitor"/>
        <s v="Printer"/>
        <m u="1"/>
      </sharedItems>
    </cacheField>
    <cacheField name="Quantity" numFmtId="0">
      <sharedItems containsSemiMixedTypes="0" containsNonDate="0" containsString="0" containsNumber="1" containsInteger="1" minValue="3" maxValue="20"/>
    </cacheField>
    <cacheField name="Unit Price" numFmtId="0">
      <sharedItems containsSemiMixedTypes="0" containsNonDate="0" containsString="0" containsNumber="1" containsInteger="1" minValue="-354850" maxValue="10000"/>
    </cacheField>
    <cacheField name="Total Sales" numFmtId="0">
      <sharedItems containsSemiMixedTypes="0" containsString="0" containsNumber="1" containsInteger="1" minValue="-2838800" maxValue="104000" count="79">
        <n v="50000"/>
        <n v="20000"/>
        <n v="21600"/>
        <n v="9600"/>
        <n v="15400"/>
        <n v="25500"/>
        <n v="16800"/>
        <n v="31500"/>
        <n v="49500"/>
        <n v="6400"/>
        <n v="39000"/>
        <n v="19200"/>
        <n v="9500"/>
        <n v="83200"/>
        <n v="26000"/>
        <n v="14700"/>
        <n v="46200"/>
        <n v="36000"/>
        <n v="57600"/>
        <n v="8400"/>
        <n v="52200"/>
        <n v="39600"/>
        <n v="46000"/>
        <n v="14400"/>
        <n v="35100"/>
        <n v="23800"/>
        <n v="69000"/>
        <n v="18000"/>
        <n v="31000"/>
        <n v="9000"/>
        <n v="42500"/>
        <n v="45600"/>
        <n v="33600"/>
        <n v="14000"/>
        <n v="55000"/>
        <n v="35200"/>
        <n v="13300"/>
        <n v="45000"/>
        <n v="28800"/>
        <n v="15600"/>
        <n v="48000"/>
        <n v="16200"/>
        <n v="104000"/>
        <n v="12000"/>
        <n v="40600"/>
        <n v="11900"/>
        <n v="52800"/>
        <n v="28600"/>
        <n v="30400"/>
        <n v="67500"/>
        <n v="37200"/>
        <n v="13500"/>
        <n v="45900"/>
        <n v="21000"/>
        <n v="25200"/>
        <n v="37400"/>
        <n v="40800"/>
        <n v="36800"/>
        <n v="28000"/>
        <n v="20800"/>
        <n v="54000"/>
        <n v="27600"/>
        <n v="28500"/>
        <n v="22500"/>
        <n v="42000"/>
        <n v="10500"/>
        <n v="44800"/>
        <n v="13600"/>
        <n v="49300"/>
        <n v="72000"/>
        <n v="57000"/>
        <n v="-2838800"/>
        <n v="40000"/>
        <n v="36300"/>
        <n v="7500"/>
        <n v="37800"/>
        <n v="44200"/>
        <n v="81600"/>
        <n v="20700"/>
      </sharedItems>
    </cacheField>
    <cacheField name="Month" numFmtId="0">
      <sharedItems count="4">
        <s v="January"/>
        <s v="February"/>
        <s v="March"/>
        <s v="April"/>
      </sharedItems>
    </cacheField>
    <cacheField name="Year" numFmtId="0">
      <sharedItems containsSemiMixedTypes="0" containsNonDate="0" containsString="0" containsNumber="1" containsInteger="1" minValue="2026" maxValue="2026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d v="2024-01-02T00:00:00"/>
    <x v="0"/>
    <s v="Bilal Ahmed"/>
    <x v="0"/>
    <n v="7"/>
    <n v="161.12"/>
    <x v="0"/>
    <n v="1"/>
    <n v="2024"/>
  </r>
  <r>
    <d v="2024-01-08T00:00:00"/>
    <x v="1"/>
    <s v="Ayesha Noor"/>
    <x v="1"/>
    <n v="27"/>
    <n v="249.28"/>
    <x v="1"/>
    <n v="1"/>
    <n v="2024"/>
  </r>
  <r>
    <d v="2024-01-13T00:00:00"/>
    <x v="2"/>
    <s v="Zainab Malik"/>
    <x v="2"/>
    <n v="43"/>
    <n v="21.46"/>
    <x v="2"/>
    <n v="1"/>
    <n v="2024"/>
  </r>
  <r>
    <d v="2024-01-14T00:00:00"/>
    <x v="1"/>
    <s v="Usman Farooq"/>
    <x v="1"/>
    <n v="30"/>
    <n v="234.09"/>
    <x v="3"/>
    <n v="1"/>
    <n v="2024"/>
  </r>
  <r>
    <d v="2024-01-15T00:00:00"/>
    <x v="3"/>
    <s v="Zainab Malik"/>
    <x v="2"/>
    <n v="47"/>
    <n v="18.66"/>
    <x v="4"/>
    <n v="1"/>
    <n v="2024"/>
  </r>
  <r>
    <d v="2024-01-23T00:00:00"/>
    <x v="3"/>
    <s v="Ali Raza"/>
    <x v="0"/>
    <n v="35"/>
    <n v="155.61000000000001"/>
    <x v="5"/>
    <n v="1"/>
    <n v="2024"/>
  </r>
  <r>
    <d v="2024-01-28T00:00:00"/>
    <x v="1"/>
    <s v="Ali Raza"/>
    <x v="2"/>
    <n v="47"/>
    <n v="19.36"/>
    <x v="6"/>
    <n v="1"/>
    <n v="2024"/>
  </r>
  <r>
    <d v="2024-01-29T00:00:00"/>
    <x v="2"/>
    <s v="Ali Raza"/>
    <x v="3"/>
    <n v="26"/>
    <n v="38.14"/>
    <x v="7"/>
    <n v="1"/>
    <n v="2024"/>
  </r>
  <r>
    <d v="2024-01-30T00:00:00"/>
    <x v="1"/>
    <s v="Zainab Malik"/>
    <x v="4"/>
    <n v="4"/>
    <n v="813.47"/>
    <x v="8"/>
    <n v="1"/>
    <n v="2024"/>
  </r>
  <r>
    <d v="2024-01-31T00:00:00"/>
    <x v="2"/>
    <s v="Sara Khan"/>
    <x v="4"/>
    <n v="22"/>
    <n v="731.34"/>
    <x v="9"/>
    <n v="1"/>
    <n v="2024"/>
  </r>
  <r>
    <d v="2024-02-05T00:00:00"/>
    <x v="1"/>
    <s v="Ayesha Noor"/>
    <x v="2"/>
    <n v="8"/>
    <n v="21.77"/>
    <x v="10"/>
    <n v="2"/>
    <n v="2024"/>
  </r>
  <r>
    <d v="2024-02-05T00:00:00"/>
    <x v="0"/>
    <s v="Zainab Malik"/>
    <x v="0"/>
    <n v="26"/>
    <n v="155.38999999999999"/>
    <x v="11"/>
    <n v="2"/>
    <n v="2024"/>
  </r>
  <r>
    <d v="2024-02-05T00:00:00"/>
    <x v="0"/>
    <s v="Ali Raza"/>
    <x v="2"/>
    <n v="32"/>
    <n v="18.420000000000002"/>
    <x v="12"/>
    <n v="2"/>
    <n v="2024"/>
  </r>
  <r>
    <d v="2024-02-08T00:00:00"/>
    <x v="3"/>
    <s v="Sara Khan"/>
    <x v="4"/>
    <n v="42"/>
    <n v="879.89"/>
    <x v="13"/>
    <n v="2"/>
    <n v="2024"/>
  </r>
  <r>
    <d v="2024-02-10T00:00:00"/>
    <x v="1"/>
    <s v="Mehwish Iqbal"/>
    <x v="4"/>
    <n v="49"/>
    <n v="805.23"/>
    <x v="14"/>
    <n v="2"/>
    <n v="2024"/>
  </r>
  <r>
    <d v="2024-02-17T00:00:00"/>
    <x v="0"/>
    <s v="Ayesha Noor"/>
    <x v="2"/>
    <n v="45"/>
    <n v="18.97"/>
    <x v="15"/>
    <n v="2"/>
    <n v="2024"/>
  </r>
  <r>
    <d v="2024-02-19T00:00:00"/>
    <x v="0"/>
    <s v="Zainab Malik"/>
    <x v="0"/>
    <n v="17"/>
    <n v="159.21"/>
    <x v="16"/>
    <n v="2"/>
    <n v="2024"/>
  </r>
  <r>
    <d v="2024-02-19T00:00:00"/>
    <x v="3"/>
    <s v="Zainab Malik"/>
    <x v="2"/>
    <n v="27"/>
    <n v="19.87"/>
    <x v="17"/>
    <n v="2"/>
    <n v="2024"/>
  </r>
  <r>
    <d v="2024-02-22T00:00:00"/>
    <x v="1"/>
    <s v="Usman Farooq"/>
    <x v="4"/>
    <n v="2"/>
    <n v="734.99"/>
    <x v="18"/>
    <n v="2"/>
    <n v="2024"/>
  </r>
  <r>
    <d v="2024-02-23T00:00:00"/>
    <x v="2"/>
    <s v="Hamza Tariq"/>
    <x v="4"/>
    <n v="7"/>
    <n v="838.79"/>
    <x v="19"/>
    <n v="2"/>
    <n v="2024"/>
  </r>
  <r>
    <d v="2024-02-25T00:00:00"/>
    <x v="2"/>
    <s v="Ayesha Noor"/>
    <x v="1"/>
    <n v="35"/>
    <n v="247.43"/>
    <x v="20"/>
    <n v="2"/>
    <n v="2024"/>
  </r>
  <r>
    <d v="2024-03-02T00:00:00"/>
    <x v="1"/>
    <s v="Zainab Malik"/>
    <x v="0"/>
    <n v="28"/>
    <n v="154.85"/>
    <x v="21"/>
    <n v="3"/>
    <n v="2024"/>
  </r>
  <r>
    <d v="2024-03-03T00:00:00"/>
    <x v="3"/>
    <s v="Bilal Ahmed"/>
    <x v="2"/>
    <n v="43"/>
    <n v="20.12"/>
    <x v="22"/>
    <n v="3"/>
    <n v="2024"/>
  </r>
  <r>
    <d v="2024-03-05T00:00:00"/>
    <x v="2"/>
    <s v="Mehwish Iqbal"/>
    <x v="0"/>
    <n v="11"/>
    <n v="142.94999999999999"/>
    <x v="23"/>
    <n v="3"/>
    <n v="2024"/>
  </r>
  <r>
    <d v="2024-03-06T00:00:00"/>
    <x v="1"/>
    <s v="Hamza Tariq"/>
    <x v="3"/>
    <n v="3"/>
    <n v="43.19"/>
    <x v="24"/>
    <n v="3"/>
    <n v="2024"/>
  </r>
  <r>
    <d v="2024-03-08T00:00:00"/>
    <x v="0"/>
    <s v="Sara Khan"/>
    <x v="1"/>
    <n v="24"/>
    <n v="239.25"/>
    <x v="25"/>
    <n v="3"/>
    <n v="2024"/>
  </r>
  <r>
    <d v="2024-03-11T00:00:00"/>
    <x v="3"/>
    <s v="Sara Khan"/>
    <x v="4"/>
    <n v="8"/>
    <n v="744.45"/>
    <x v="26"/>
    <n v="3"/>
    <n v="2024"/>
  </r>
  <r>
    <d v="2024-03-19T00:00:00"/>
    <x v="2"/>
    <s v="Sara Khan"/>
    <x v="2"/>
    <n v="27"/>
    <n v="19.32"/>
    <x v="27"/>
    <n v="3"/>
    <n v="2024"/>
  </r>
  <r>
    <d v="2024-03-20T00:00:00"/>
    <x v="0"/>
    <s v="Hamza Tariq"/>
    <x v="0"/>
    <n v="14"/>
    <n v="156.53"/>
    <x v="28"/>
    <n v="3"/>
    <n v="2024"/>
  </r>
  <r>
    <d v="2024-03-22T00:00:00"/>
    <x v="3"/>
    <s v="Sara Khan"/>
    <x v="2"/>
    <n v="25"/>
    <n v="20.38"/>
    <x v="29"/>
    <n v="3"/>
    <n v="2024"/>
  </r>
  <r>
    <d v="2024-04-11T00:00:00"/>
    <x v="2"/>
    <s v="Ali Raza"/>
    <x v="4"/>
    <n v="16"/>
    <n v="877.43"/>
    <x v="30"/>
    <n v="4"/>
    <n v="2024"/>
  </r>
  <r>
    <d v="2024-04-12T00:00:00"/>
    <x v="0"/>
    <s v="Usman Farooq"/>
    <x v="3"/>
    <n v="29"/>
    <n v="43.2"/>
    <x v="31"/>
    <n v="4"/>
    <n v="2024"/>
  </r>
  <r>
    <d v="2024-04-14T00:00:00"/>
    <x v="0"/>
    <s v="Mehwish Iqbal"/>
    <x v="3"/>
    <n v="4"/>
    <n v="36.74"/>
    <x v="32"/>
    <n v="4"/>
    <n v="2024"/>
  </r>
  <r>
    <d v="2024-04-17T00:00:00"/>
    <x v="2"/>
    <s v="Sara Khan"/>
    <x v="3"/>
    <n v="50"/>
    <n v="40.479999999999997"/>
    <x v="33"/>
    <n v="4"/>
    <n v="2024"/>
  </r>
  <r>
    <d v="2024-04-18T00:00:00"/>
    <x v="0"/>
    <s v="Ayesha Noor"/>
    <x v="2"/>
    <n v="26"/>
    <n v="21.54"/>
    <x v="34"/>
    <n v="4"/>
    <n v="2024"/>
  </r>
  <r>
    <d v="2024-04-19T00:00:00"/>
    <x v="3"/>
    <s v="Ali Raza"/>
    <x v="1"/>
    <n v="25"/>
    <n v="225.11"/>
    <x v="35"/>
    <n v="4"/>
    <n v="2024"/>
  </r>
  <r>
    <d v="2024-04-26T00:00:00"/>
    <x v="2"/>
    <s v="Ali Raza"/>
    <x v="1"/>
    <n v="26"/>
    <n v="241.41"/>
    <x v="36"/>
    <n v="4"/>
    <n v="2024"/>
  </r>
  <r>
    <d v="2024-04-29T00:00:00"/>
    <x v="1"/>
    <s v="Ayesha Noor"/>
    <x v="0"/>
    <n v="27"/>
    <n v="141.61000000000001"/>
    <x v="37"/>
    <n v="4"/>
    <n v="2024"/>
  </r>
  <r>
    <d v="2024-05-01T00:00:00"/>
    <x v="0"/>
    <s v="Mehwish Iqbal"/>
    <x v="1"/>
    <n v="35"/>
    <n v="231.62"/>
    <x v="38"/>
    <n v="5"/>
    <n v="2024"/>
  </r>
  <r>
    <d v="2024-05-02T00:00:00"/>
    <x v="0"/>
    <s v="Usman Farooq"/>
    <x v="1"/>
    <n v="43"/>
    <n v="257.27999999999997"/>
    <x v="39"/>
    <n v="5"/>
    <n v="2024"/>
  </r>
  <r>
    <d v="2024-05-06T00:00:00"/>
    <x v="0"/>
    <s v="Mehwish Iqbal"/>
    <x v="1"/>
    <n v="18"/>
    <n v="246.99"/>
    <x v="40"/>
    <n v="5"/>
    <n v="2024"/>
  </r>
  <r>
    <d v="2024-05-07T00:00:00"/>
    <x v="0"/>
    <s v="Bilal Ahmed"/>
    <x v="4"/>
    <n v="25"/>
    <n v="859.55"/>
    <x v="41"/>
    <n v="5"/>
    <n v="2024"/>
  </r>
  <r>
    <d v="2024-05-13T00:00:00"/>
    <x v="3"/>
    <s v="Zainab Malik"/>
    <x v="1"/>
    <n v="30"/>
    <n v="241.34"/>
    <x v="42"/>
    <n v="5"/>
    <n v="2024"/>
  </r>
  <r>
    <d v="2024-05-15T00:00:00"/>
    <x v="1"/>
    <s v="Sara Khan"/>
    <x v="0"/>
    <n v="28"/>
    <n v="145.37"/>
    <x v="43"/>
    <n v="5"/>
    <n v="2024"/>
  </r>
  <r>
    <d v="2024-05-16T00:00:00"/>
    <x v="1"/>
    <s v="Bilal Ahmed"/>
    <x v="0"/>
    <n v="47"/>
    <n v="142.34"/>
    <x v="44"/>
    <n v="5"/>
    <n v="2024"/>
  </r>
  <r>
    <d v="2024-05-16T00:00:00"/>
    <x v="0"/>
    <s v="Sara Khan"/>
    <x v="3"/>
    <n v="28"/>
    <n v="37.270000000000003"/>
    <x v="45"/>
    <n v="5"/>
    <n v="2024"/>
  </r>
  <r>
    <d v="2024-05-21T00:00:00"/>
    <x v="1"/>
    <s v="Ayesha Noor"/>
    <x v="4"/>
    <n v="16"/>
    <n v="835.21"/>
    <x v="46"/>
    <n v="5"/>
    <n v="2024"/>
  </r>
  <r>
    <d v="2024-05-22T00:00:00"/>
    <x v="2"/>
    <s v="Ayesha Noor"/>
    <x v="3"/>
    <n v="7"/>
    <n v="36.74"/>
    <x v="47"/>
    <n v="5"/>
    <n v="2024"/>
  </r>
  <r>
    <d v="2024-05-28T00:00:00"/>
    <x v="1"/>
    <s v="Ayesha Noor"/>
    <x v="4"/>
    <n v="25"/>
    <n v="764.48"/>
    <x v="48"/>
    <n v="5"/>
    <n v="2024"/>
  </r>
  <r>
    <d v="2024-06-01T00:00:00"/>
    <x v="2"/>
    <s v="Bilal Ahmed"/>
    <x v="3"/>
    <n v="49"/>
    <n v="37.29"/>
    <x v="49"/>
    <n v="6"/>
    <n v="2024"/>
  </r>
  <r>
    <d v="2024-06-01T00:00:00"/>
    <x v="3"/>
    <s v="Usman Farooq"/>
    <x v="0"/>
    <n v="48"/>
    <n v="157.04"/>
    <x v="50"/>
    <n v="6"/>
    <n v="2024"/>
  </r>
  <r>
    <d v="2024-06-08T00:00:00"/>
    <x v="3"/>
    <s v="Usman Farooq"/>
    <x v="1"/>
    <n v="5"/>
    <n v="254.6"/>
    <x v="51"/>
    <n v="6"/>
    <n v="2024"/>
  </r>
  <r>
    <d v="2024-06-09T00:00:00"/>
    <x v="3"/>
    <s v="Sara Khan"/>
    <x v="2"/>
    <n v="37"/>
    <n v="18.760000000000002"/>
    <x v="52"/>
    <n v="6"/>
    <n v="2024"/>
  </r>
  <r>
    <d v="2024-06-18T00:00:00"/>
    <x v="0"/>
    <s v="Sara Khan"/>
    <x v="3"/>
    <n v="33"/>
    <n v="38.47"/>
    <x v="53"/>
    <n v="6"/>
    <n v="2024"/>
  </r>
  <r>
    <d v="2024-06-21T00:00:00"/>
    <x v="1"/>
    <s v="Mehwish Iqbal"/>
    <x v="3"/>
    <n v="12"/>
    <n v="39.9"/>
    <x v="54"/>
    <n v="6"/>
    <n v="2024"/>
  </r>
  <r>
    <d v="2024-06-30T00:00:00"/>
    <x v="0"/>
    <s v="Zainab Malik"/>
    <x v="3"/>
    <n v="39"/>
    <n v="41.61"/>
    <x v="55"/>
    <n v="6"/>
    <n v="2024"/>
  </r>
  <r>
    <d v="2024-07-04T00:00:00"/>
    <x v="0"/>
    <s v="Ayesha Noor"/>
    <x v="4"/>
    <n v="16"/>
    <n v="860.48"/>
    <x v="56"/>
    <n v="7"/>
    <n v="2024"/>
  </r>
  <r>
    <d v="2024-07-04T00:00:00"/>
    <x v="3"/>
    <s v="Bilal Ahmed"/>
    <x v="2"/>
    <n v="12"/>
    <n v="20.94"/>
    <x v="57"/>
    <n v="7"/>
    <n v="2024"/>
  </r>
  <r>
    <d v="2024-07-13T00:00:00"/>
    <x v="0"/>
    <s v="Usman Farooq"/>
    <x v="3"/>
    <n v="6"/>
    <n v="39.76"/>
    <x v="58"/>
    <n v="7"/>
    <n v="2024"/>
  </r>
  <r>
    <d v="2024-07-18T00:00:00"/>
    <x v="0"/>
    <s v="Mehwish Iqbal"/>
    <x v="3"/>
    <n v="28"/>
    <n v="41.57"/>
    <x v="59"/>
    <n v="7"/>
    <n v="2024"/>
  </r>
  <r>
    <d v="2024-07-27T00:00:00"/>
    <x v="2"/>
    <s v="Ayesha Noor"/>
    <x v="1"/>
    <n v="12"/>
    <n v="269.07"/>
    <x v="60"/>
    <n v="7"/>
    <n v="2024"/>
  </r>
  <r>
    <d v="2024-07-28T00:00:00"/>
    <x v="0"/>
    <s v="Usman Farooq"/>
    <x v="3"/>
    <n v="36"/>
    <n v="37.020000000000003"/>
    <x v="61"/>
    <n v="7"/>
    <n v="2024"/>
  </r>
  <r>
    <d v="2024-08-03T00:00:00"/>
    <x v="3"/>
    <s v="Bilal Ahmed"/>
    <x v="0"/>
    <n v="37"/>
    <n v="144.03"/>
    <x v="62"/>
    <n v="8"/>
    <n v="2024"/>
  </r>
  <r>
    <d v="2024-08-04T00:00:00"/>
    <x v="2"/>
    <s v="Hamza Tariq"/>
    <x v="2"/>
    <n v="16"/>
    <n v="21.5"/>
    <x v="63"/>
    <n v="8"/>
    <n v="2024"/>
  </r>
  <r>
    <d v="2024-08-04T00:00:00"/>
    <x v="0"/>
    <s v="Ali Raza"/>
    <x v="4"/>
    <n v="22"/>
    <n v="843.38"/>
    <x v="64"/>
    <n v="8"/>
    <n v="2024"/>
  </r>
  <r>
    <d v="2024-08-06T00:00:00"/>
    <x v="3"/>
    <s v="Bilal Ahmed"/>
    <x v="2"/>
    <n v="29"/>
    <n v="19.04"/>
    <x v="65"/>
    <n v="8"/>
    <n v="2024"/>
  </r>
  <r>
    <d v="2024-08-12T00:00:00"/>
    <x v="0"/>
    <s v="Ali Raza"/>
    <x v="0"/>
    <n v="20"/>
    <n v="162.94999999999999"/>
    <x v="66"/>
    <n v="8"/>
    <n v="2024"/>
  </r>
  <r>
    <d v="2024-08-18T00:00:00"/>
    <x v="2"/>
    <s v="Mehwish Iqbal"/>
    <x v="0"/>
    <n v="40"/>
    <n v="155.05000000000001"/>
    <x v="67"/>
    <n v="8"/>
    <n v="2024"/>
  </r>
  <r>
    <d v="2024-08-19T00:00:00"/>
    <x v="1"/>
    <s v="Ayesha Noor"/>
    <x v="1"/>
    <n v="5"/>
    <n v="241.9"/>
    <x v="68"/>
    <n v="8"/>
    <n v="2024"/>
  </r>
  <r>
    <d v="2024-08-22T00:00:00"/>
    <x v="0"/>
    <s v="Sara Khan"/>
    <x v="4"/>
    <n v="30"/>
    <n v="819.39"/>
    <x v="69"/>
    <n v="8"/>
    <n v="2024"/>
  </r>
  <r>
    <d v="2024-08-23T00:00:00"/>
    <x v="1"/>
    <s v="Usman Farooq"/>
    <x v="4"/>
    <n v="36"/>
    <n v="766.91"/>
    <x v="70"/>
    <n v="8"/>
    <n v="2024"/>
  </r>
  <r>
    <d v="2024-08-24T00:00:00"/>
    <x v="3"/>
    <s v="Hamza Tariq"/>
    <x v="0"/>
    <n v="15"/>
    <n v="155.54"/>
    <x v="71"/>
    <n v="8"/>
    <n v="2024"/>
  </r>
  <r>
    <d v="2024-08-26T00:00:00"/>
    <x v="3"/>
    <s v="Ali Raza"/>
    <x v="1"/>
    <n v="27"/>
    <n v="244.47"/>
    <x v="72"/>
    <n v="8"/>
    <n v="2024"/>
  </r>
  <r>
    <d v="2024-08-27T00:00:00"/>
    <x v="0"/>
    <s v="Ali Raza"/>
    <x v="4"/>
    <n v="44"/>
    <n v="861.57"/>
    <x v="73"/>
    <n v="8"/>
    <n v="2024"/>
  </r>
  <r>
    <d v="2024-08-27T00:00:00"/>
    <x v="2"/>
    <s v="Ali Raza"/>
    <x v="2"/>
    <n v="38"/>
    <n v="20.260000000000002"/>
    <x v="74"/>
    <n v="8"/>
    <n v="2024"/>
  </r>
  <r>
    <d v="2024-08-28T00:00:00"/>
    <x v="2"/>
    <s v="Ayesha Noor"/>
    <x v="2"/>
    <n v="23"/>
    <n v="19.22"/>
    <x v="75"/>
    <n v="8"/>
    <n v="2024"/>
  </r>
  <r>
    <d v="2024-09-07T00:00:00"/>
    <x v="2"/>
    <s v="Mehwish Iqbal"/>
    <x v="2"/>
    <n v="29"/>
    <n v="21.17"/>
    <x v="76"/>
    <n v="9"/>
    <n v="2024"/>
  </r>
  <r>
    <d v="2024-09-14T00:00:00"/>
    <x v="2"/>
    <s v="Ali Raza"/>
    <x v="0"/>
    <n v="6"/>
    <n v="160.54"/>
    <x v="77"/>
    <n v="9"/>
    <n v="2024"/>
  </r>
  <r>
    <d v="2024-09-18T00:00:00"/>
    <x v="3"/>
    <s v="Bilal Ahmed"/>
    <x v="4"/>
    <n v="19"/>
    <n v="802.47"/>
    <x v="78"/>
    <n v="9"/>
    <n v="2024"/>
  </r>
  <r>
    <d v="2024-09-28T00:00:00"/>
    <x v="1"/>
    <s v="Zainab Malik"/>
    <x v="2"/>
    <n v="2"/>
    <n v="18.45"/>
    <x v="79"/>
    <n v="9"/>
    <n v="2024"/>
  </r>
  <r>
    <d v="2024-10-01T00:00:00"/>
    <x v="0"/>
    <s v="Ali Raza"/>
    <x v="4"/>
    <n v="17"/>
    <n v="748.57"/>
    <x v="80"/>
    <n v="10"/>
    <n v="2024"/>
  </r>
  <r>
    <d v="2024-10-03T00:00:00"/>
    <x v="1"/>
    <s v="Bilal Ahmed"/>
    <x v="1"/>
    <n v="15"/>
    <n v="244.15"/>
    <x v="81"/>
    <n v="10"/>
    <n v="2024"/>
  </r>
  <r>
    <d v="2024-10-03T00:00:00"/>
    <x v="1"/>
    <s v="Zainab Malik"/>
    <x v="1"/>
    <n v="42"/>
    <n v="228.43"/>
    <x v="82"/>
    <n v="10"/>
    <n v="2024"/>
  </r>
  <r>
    <d v="2024-10-06T00:00:00"/>
    <x v="1"/>
    <s v="Zainab Malik"/>
    <x v="0"/>
    <n v="36"/>
    <n v="139.44"/>
    <x v="83"/>
    <n v="10"/>
    <n v="2024"/>
  </r>
  <r>
    <d v="2024-10-07T00:00:00"/>
    <x v="1"/>
    <s v="Hamza Tariq"/>
    <x v="3"/>
    <n v="14"/>
    <n v="39.44"/>
    <x v="65"/>
    <n v="10"/>
    <n v="2024"/>
  </r>
  <r>
    <d v="2024-10-08T00:00:00"/>
    <x v="0"/>
    <s v="Zainab Malik"/>
    <x v="2"/>
    <n v="18"/>
    <n v="19.23"/>
    <x v="84"/>
    <n v="10"/>
    <n v="2024"/>
  </r>
  <r>
    <d v="2024-10-11T00:00:00"/>
    <x v="3"/>
    <s v="Bilal Ahmed"/>
    <x v="1"/>
    <n v="19"/>
    <n v="235.89"/>
    <x v="85"/>
    <n v="10"/>
    <n v="2024"/>
  </r>
  <r>
    <d v="2024-10-13T00:00:00"/>
    <x v="0"/>
    <s v="Mehwish Iqbal"/>
    <x v="0"/>
    <n v="47"/>
    <n v="161.76"/>
    <x v="86"/>
    <n v="10"/>
    <n v="2024"/>
  </r>
  <r>
    <d v="2024-10-14T00:00:00"/>
    <x v="0"/>
    <s v="Usman Farooq"/>
    <x v="0"/>
    <n v="26"/>
    <n v="145.86000000000001"/>
    <x v="87"/>
    <n v="10"/>
    <n v="2024"/>
  </r>
  <r>
    <d v="2024-10-14T00:00:00"/>
    <x v="1"/>
    <s v="Sara Khan"/>
    <x v="4"/>
    <n v="45"/>
    <n v="864.63"/>
    <x v="88"/>
    <n v="10"/>
    <n v="2024"/>
  </r>
  <r>
    <d v="2024-10-15T00:00:00"/>
    <x v="1"/>
    <s v="Sara Khan"/>
    <x v="0"/>
    <n v="14"/>
    <n v="150.18"/>
    <x v="89"/>
    <n v="10"/>
    <n v="2024"/>
  </r>
  <r>
    <d v="2024-10-15T00:00:00"/>
    <x v="2"/>
    <s v="Mehwish Iqbal"/>
    <x v="3"/>
    <n v="50"/>
    <n v="38.950000000000003"/>
    <x v="90"/>
    <n v="10"/>
    <n v="2024"/>
  </r>
  <r>
    <d v="2024-10-18T00:00:00"/>
    <x v="2"/>
    <s v="Ali Raza"/>
    <x v="0"/>
    <n v="6"/>
    <n v="147.58000000000001"/>
    <x v="91"/>
    <n v="10"/>
    <n v="2024"/>
  </r>
  <r>
    <d v="2024-10-19T00:00:00"/>
    <x v="3"/>
    <s v="Ayesha Noor"/>
    <x v="2"/>
    <n v="27"/>
    <n v="18.760000000000002"/>
    <x v="92"/>
    <n v="10"/>
    <n v="2024"/>
  </r>
  <r>
    <d v="2024-10-23T00:00:00"/>
    <x v="0"/>
    <s v="Mehwish Iqbal"/>
    <x v="2"/>
    <n v="29"/>
    <n v="20.7"/>
    <x v="93"/>
    <n v="10"/>
    <n v="2024"/>
  </r>
  <r>
    <d v="2024-10-25T00:00:00"/>
    <x v="0"/>
    <s v="Hamza Tariq"/>
    <x v="1"/>
    <n v="43"/>
    <n v="260.81"/>
    <x v="94"/>
    <n v="10"/>
    <n v="2024"/>
  </r>
  <r>
    <d v="2024-10-26T00:00:00"/>
    <x v="1"/>
    <s v="Usman Farooq"/>
    <x v="2"/>
    <n v="1"/>
    <n v="21.77"/>
    <x v="95"/>
    <n v="10"/>
    <n v="2024"/>
  </r>
  <r>
    <d v="2024-10-28T00:00:00"/>
    <x v="0"/>
    <s v="Ali Raza"/>
    <x v="1"/>
    <n v="45"/>
    <n v="246.13"/>
    <x v="96"/>
    <n v="10"/>
    <n v="2024"/>
  </r>
  <r>
    <d v="2024-10-28T00:00:00"/>
    <x v="2"/>
    <s v="Ayesha Noor"/>
    <x v="4"/>
    <n v="5"/>
    <n v="833.25"/>
    <x v="97"/>
    <n v="10"/>
    <n v="2024"/>
  </r>
  <r>
    <d v="2024-10-30T00:00:00"/>
    <x v="0"/>
    <s v="Zainab Malik"/>
    <x v="1"/>
    <n v="6"/>
    <n v="238.95"/>
    <x v="98"/>
    <n v="10"/>
    <n v="2024"/>
  </r>
  <r>
    <d v="2024-11-04T00:00:00"/>
    <x v="2"/>
    <s v="Mehwish Iqbal"/>
    <x v="1"/>
    <n v="18"/>
    <n v="246.79"/>
    <x v="99"/>
    <n v="11"/>
    <n v="2024"/>
  </r>
  <r>
    <d v="2024-11-06T00:00:00"/>
    <x v="3"/>
    <s v="Ayesha Noor"/>
    <x v="0"/>
    <n v="49"/>
    <n v="156.9"/>
    <x v="100"/>
    <n v="11"/>
    <n v="2024"/>
  </r>
  <r>
    <d v="2024-11-06T00:00:00"/>
    <x v="1"/>
    <s v="Bilal Ahmed"/>
    <x v="3"/>
    <n v="7"/>
    <n v="40.630000000000003"/>
    <x v="101"/>
    <n v="11"/>
    <n v="2024"/>
  </r>
  <r>
    <d v="2024-11-08T00:00:00"/>
    <x v="1"/>
    <s v="Mehwish Iqbal"/>
    <x v="2"/>
    <n v="41"/>
    <n v="20.3"/>
    <x v="102"/>
    <n v="11"/>
    <n v="2024"/>
  </r>
  <r>
    <d v="2024-11-14T00:00:00"/>
    <x v="2"/>
    <s v="Ayesha Noor"/>
    <x v="1"/>
    <n v="31"/>
    <n v="258.47000000000003"/>
    <x v="103"/>
    <n v="11"/>
    <n v="2024"/>
  </r>
  <r>
    <d v="2024-11-17T00:00:00"/>
    <x v="0"/>
    <s v="Ayesha Noor"/>
    <x v="4"/>
    <n v="3"/>
    <n v="825.8"/>
    <x v="104"/>
    <n v="11"/>
    <n v="2024"/>
  </r>
  <r>
    <d v="2024-11-17T00:00:00"/>
    <x v="2"/>
    <s v="Sara Khan"/>
    <x v="3"/>
    <n v="44"/>
    <n v="40.799999999999997"/>
    <x v="105"/>
    <n v="11"/>
    <n v="2024"/>
  </r>
  <r>
    <d v="2024-11-20T00:00:00"/>
    <x v="0"/>
    <s v="Sara Khan"/>
    <x v="1"/>
    <n v="44"/>
    <n v="240.52"/>
    <x v="106"/>
    <n v="11"/>
    <n v="2024"/>
  </r>
  <r>
    <d v="2024-11-21T00:00:00"/>
    <x v="0"/>
    <s v="Bilal Ahmed"/>
    <x v="3"/>
    <n v="23"/>
    <n v="37.68"/>
    <x v="107"/>
    <n v="11"/>
    <n v="2024"/>
  </r>
  <r>
    <d v="2024-11-22T00:00:00"/>
    <x v="0"/>
    <s v="Bilal Ahmed"/>
    <x v="2"/>
    <n v="36"/>
    <n v="20.82"/>
    <x v="108"/>
    <n v="11"/>
    <n v="2024"/>
  </r>
  <r>
    <d v="2024-11-23T00:00:00"/>
    <x v="1"/>
    <s v="Ali Raza"/>
    <x v="3"/>
    <n v="16"/>
    <n v="37.79"/>
    <x v="109"/>
    <n v="11"/>
    <n v="2024"/>
  </r>
  <r>
    <d v="2024-11-25T00:00:00"/>
    <x v="3"/>
    <s v="Bilal Ahmed"/>
    <x v="3"/>
    <n v="9"/>
    <n v="37.97"/>
    <x v="110"/>
    <n v="11"/>
    <n v="2024"/>
  </r>
  <r>
    <d v="2024-11-29T00:00:00"/>
    <x v="1"/>
    <s v="Ali Raza"/>
    <x v="1"/>
    <n v="13"/>
    <n v="266.95999999999998"/>
    <x v="111"/>
    <n v="11"/>
    <n v="2024"/>
  </r>
  <r>
    <d v="2024-11-29T00:00:00"/>
    <x v="0"/>
    <s v="Mehwish Iqbal"/>
    <x v="2"/>
    <n v="28"/>
    <n v="-5580.2742857142794"/>
    <x v="112"/>
    <n v="11"/>
    <n v="2024"/>
  </r>
  <r>
    <d v="2024-12-05T00:00:00"/>
    <x v="0"/>
    <s v="Mehwish Iqbal"/>
    <x v="0"/>
    <n v="34"/>
    <n v="145.31"/>
    <x v="113"/>
    <n v="12"/>
    <n v="2024"/>
  </r>
  <r>
    <d v="2024-12-09T00:00:00"/>
    <x v="2"/>
    <s v="Zainab Malik"/>
    <x v="2"/>
    <n v="5"/>
    <n v="21.8"/>
    <x v="114"/>
    <n v="12"/>
    <n v="2024"/>
  </r>
  <r>
    <d v="2024-12-18T00:00:00"/>
    <x v="1"/>
    <s v="Sara Khan"/>
    <x v="2"/>
    <n v="15"/>
    <n v="18.7"/>
    <x v="115"/>
    <n v="12"/>
    <n v="2024"/>
  </r>
  <r>
    <d v="2024-12-22T00:00:00"/>
    <x v="3"/>
    <s v="Mehwish Iqbal"/>
    <x v="2"/>
    <n v="16"/>
    <n v="18.59"/>
    <x v="116"/>
    <n v="12"/>
    <n v="2024"/>
  </r>
  <r>
    <d v="2024-12-22T00:00:00"/>
    <x v="3"/>
    <s v="Ali Raza"/>
    <x v="0"/>
    <n v="16"/>
    <n v="162.52000000000001"/>
    <x v="117"/>
    <n v="12"/>
    <n v="2024"/>
  </r>
  <r>
    <d v="2024-12-31T00:00:00"/>
    <x v="0"/>
    <s v="Ayesha Noor"/>
    <x v="3"/>
    <n v="22"/>
    <n v="38.56"/>
    <x v="118"/>
    <n v="12"/>
    <n v="2024"/>
  </r>
  <r>
    <m/>
    <x v="4"/>
    <m/>
    <x v="5"/>
    <m/>
    <m/>
    <x v="119"/>
    <m/>
    <m/>
  </r>
  <r>
    <m/>
    <x v="4"/>
    <m/>
    <x v="5"/>
    <m/>
    <m/>
    <x v="120"/>
    <m/>
    <m/>
  </r>
  <r>
    <m/>
    <x v="4"/>
    <m/>
    <x v="5"/>
    <m/>
    <m/>
    <x v="121"/>
    <m/>
    <m/>
  </r>
  <r>
    <m/>
    <x v="4"/>
    <m/>
    <x v="5"/>
    <m/>
    <m/>
    <x v="12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x v="0"/>
    <x v="0"/>
    <n v="7"/>
    <n v="161.12"/>
    <x v="0"/>
  </r>
  <r>
    <x v="1"/>
    <x v="1"/>
    <x v="1"/>
    <x v="1"/>
    <n v="27"/>
    <n v="249.28"/>
    <x v="1"/>
  </r>
  <r>
    <x v="2"/>
    <x v="2"/>
    <x v="2"/>
    <x v="2"/>
    <n v="43"/>
    <n v="21.46"/>
    <x v="2"/>
  </r>
  <r>
    <x v="3"/>
    <x v="1"/>
    <x v="3"/>
    <x v="1"/>
    <n v="30"/>
    <n v="234.09"/>
    <x v="3"/>
  </r>
  <r>
    <x v="4"/>
    <x v="3"/>
    <x v="2"/>
    <x v="2"/>
    <n v="47"/>
    <n v="18.66"/>
    <x v="4"/>
  </r>
  <r>
    <x v="5"/>
    <x v="3"/>
    <x v="4"/>
    <x v="0"/>
    <n v="35"/>
    <n v="155.61000000000001"/>
    <x v="5"/>
  </r>
  <r>
    <x v="6"/>
    <x v="1"/>
    <x v="4"/>
    <x v="2"/>
    <n v="47"/>
    <n v="19.36"/>
    <x v="6"/>
  </r>
  <r>
    <x v="7"/>
    <x v="2"/>
    <x v="4"/>
    <x v="3"/>
    <n v="26"/>
    <n v="38.14"/>
    <x v="7"/>
  </r>
  <r>
    <x v="8"/>
    <x v="1"/>
    <x v="2"/>
    <x v="4"/>
    <n v="4"/>
    <n v="813.47"/>
    <x v="8"/>
  </r>
  <r>
    <x v="9"/>
    <x v="2"/>
    <x v="5"/>
    <x v="4"/>
    <n v="22"/>
    <n v="731.34"/>
    <x v="9"/>
  </r>
  <r>
    <x v="10"/>
    <x v="1"/>
    <x v="1"/>
    <x v="2"/>
    <n v="8"/>
    <n v="21.77"/>
    <x v="10"/>
  </r>
  <r>
    <x v="10"/>
    <x v="0"/>
    <x v="2"/>
    <x v="0"/>
    <n v="26"/>
    <n v="155.38999999999999"/>
    <x v="11"/>
  </r>
  <r>
    <x v="10"/>
    <x v="0"/>
    <x v="4"/>
    <x v="2"/>
    <n v="32"/>
    <n v="18.420000000000002"/>
    <x v="12"/>
  </r>
  <r>
    <x v="11"/>
    <x v="3"/>
    <x v="5"/>
    <x v="4"/>
    <n v="42"/>
    <n v="879.89"/>
    <x v="13"/>
  </r>
  <r>
    <x v="12"/>
    <x v="1"/>
    <x v="6"/>
    <x v="4"/>
    <n v="49"/>
    <n v="805.23"/>
    <x v="14"/>
  </r>
  <r>
    <x v="13"/>
    <x v="0"/>
    <x v="1"/>
    <x v="2"/>
    <n v="45"/>
    <n v="18.97"/>
    <x v="15"/>
  </r>
  <r>
    <x v="14"/>
    <x v="0"/>
    <x v="2"/>
    <x v="0"/>
    <n v="17"/>
    <n v="159.21"/>
    <x v="16"/>
  </r>
  <r>
    <x v="14"/>
    <x v="3"/>
    <x v="2"/>
    <x v="2"/>
    <n v="27"/>
    <n v="19.87"/>
    <x v="17"/>
  </r>
  <r>
    <x v="15"/>
    <x v="1"/>
    <x v="3"/>
    <x v="4"/>
    <n v="2"/>
    <n v="734.99"/>
    <x v="18"/>
  </r>
  <r>
    <x v="16"/>
    <x v="2"/>
    <x v="7"/>
    <x v="4"/>
    <n v="7"/>
    <n v="838.79"/>
    <x v="19"/>
  </r>
  <r>
    <x v="17"/>
    <x v="2"/>
    <x v="1"/>
    <x v="1"/>
    <n v="35"/>
    <n v="247.43"/>
    <x v="20"/>
  </r>
  <r>
    <x v="18"/>
    <x v="1"/>
    <x v="2"/>
    <x v="0"/>
    <n v="28"/>
    <n v="154.85"/>
    <x v="21"/>
  </r>
  <r>
    <x v="19"/>
    <x v="3"/>
    <x v="0"/>
    <x v="2"/>
    <n v="43"/>
    <n v="20.12"/>
    <x v="22"/>
  </r>
  <r>
    <x v="20"/>
    <x v="2"/>
    <x v="6"/>
    <x v="0"/>
    <n v="11"/>
    <n v="142.94999999999999"/>
    <x v="23"/>
  </r>
  <r>
    <x v="21"/>
    <x v="1"/>
    <x v="7"/>
    <x v="3"/>
    <n v="3"/>
    <n v="43.19"/>
    <x v="24"/>
  </r>
  <r>
    <x v="22"/>
    <x v="0"/>
    <x v="5"/>
    <x v="1"/>
    <n v="24"/>
    <n v="239.25"/>
    <x v="25"/>
  </r>
  <r>
    <x v="23"/>
    <x v="3"/>
    <x v="5"/>
    <x v="4"/>
    <n v="8"/>
    <n v="744.45"/>
    <x v="26"/>
  </r>
  <r>
    <x v="24"/>
    <x v="2"/>
    <x v="5"/>
    <x v="2"/>
    <n v="27"/>
    <n v="19.32"/>
    <x v="27"/>
  </r>
  <r>
    <x v="25"/>
    <x v="0"/>
    <x v="7"/>
    <x v="0"/>
    <n v="14"/>
    <n v="156.53"/>
    <x v="28"/>
  </r>
  <r>
    <x v="26"/>
    <x v="3"/>
    <x v="5"/>
    <x v="2"/>
    <n v="25"/>
    <n v="20.38"/>
    <x v="29"/>
  </r>
  <r>
    <x v="27"/>
    <x v="2"/>
    <x v="4"/>
    <x v="4"/>
    <n v="16"/>
    <n v="877.43"/>
    <x v="30"/>
  </r>
  <r>
    <x v="28"/>
    <x v="0"/>
    <x v="3"/>
    <x v="3"/>
    <n v="29"/>
    <n v="43.2"/>
    <x v="31"/>
  </r>
  <r>
    <x v="29"/>
    <x v="0"/>
    <x v="6"/>
    <x v="3"/>
    <n v="4"/>
    <n v="36.74"/>
    <x v="32"/>
  </r>
  <r>
    <x v="30"/>
    <x v="2"/>
    <x v="5"/>
    <x v="3"/>
    <n v="50"/>
    <n v="40.479999999999997"/>
    <x v="33"/>
  </r>
  <r>
    <x v="31"/>
    <x v="0"/>
    <x v="1"/>
    <x v="2"/>
    <n v="26"/>
    <n v="21.54"/>
    <x v="34"/>
  </r>
  <r>
    <x v="32"/>
    <x v="3"/>
    <x v="4"/>
    <x v="1"/>
    <n v="25"/>
    <n v="225.11"/>
    <x v="35"/>
  </r>
  <r>
    <x v="33"/>
    <x v="2"/>
    <x v="4"/>
    <x v="1"/>
    <n v="26"/>
    <n v="241.41"/>
    <x v="36"/>
  </r>
  <r>
    <x v="34"/>
    <x v="1"/>
    <x v="1"/>
    <x v="0"/>
    <n v="27"/>
    <n v="141.61000000000001"/>
    <x v="37"/>
  </r>
  <r>
    <x v="35"/>
    <x v="0"/>
    <x v="6"/>
    <x v="1"/>
    <n v="35"/>
    <n v="231.62"/>
    <x v="38"/>
  </r>
  <r>
    <x v="36"/>
    <x v="0"/>
    <x v="3"/>
    <x v="1"/>
    <n v="43"/>
    <n v="257.27999999999997"/>
    <x v="39"/>
  </r>
  <r>
    <x v="37"/>
    <x v="0"/>
    <x v="6"/>
    <x v="1"/>
    <n v="18"/>
    <n v="246.99"/>
    <x v="40"/>
  </r>
  <r>
    <x v="38"/>
    <x v="0"/>
    <x v="0"/>
    <x v="4"/>
    <n v="25"/>
    <n v="859.55"/>
    <x v="41"/>
  </r>
  <r>
    <x v="39"/>
    <x v="3"/>
    <x v="2"/>
    <x v="1"/>
    <n v="30"/>
    <n v="241.34"/>
    <x v="42"/>
  </r>
  <r>
    <x v="40"/>
    <x v="1"/>
    <x v="5"/>
    <x v="0"/>
    <n v="28"/>
    <n v="145.37"/>
    <x v="43"/>
  </r>
  <r>
    <x v="41"/>
    <x v="1"/>
    <x v="0"/>
    <x v="0"/>
    <n v="47"/>
    <n v="142.34"/>
    <x v="44"/>
  </r>
  <r>
    <x v="41"/>
    <x v="0"/>
    <x v="5"/>
    <x v="3"/>
    <n v="28"/>
    <n v="37.270000000000003"/>
    <x v="45"/>
  </r>
  <r>
    <x v="42"/>
    <x v="1"/>
    <x v="1"/>
    <x v="4"/>
    <n v="16"/>
    <n v="835.21"/>
    <x v="46"/>
  </r>
  <r>
    <x v="43"/>
    <x v="2"/>
    <x v="1"/>
    <x v="3"/>
    <n v="7"/>
    <n v="36.74"/>
    <x v="47"/>
  </r>
  <r>
    <x v="44"/>
    <x v="1"/>
    <x v="1"/>
    <x v="4"/>
    <n v="25"/>
    <n v="764.48"/>
    <x v="48"/>
  </r>
  <r>
    <x v="45"/>
    <x v="2"/>
    <x v="0"/>
    <x v="3"/>
    <n v="49"/>
    <n v="37.29"/>
    <x v="49"/>
  </r>
  <r>
    <x v="45"/>
    <x v="3"/>
    <x v="3"/>
    <x v="0"/>
    <n v="48"/>
    <n v="157.04"/>
    <x v="50"/>
  </r>
  <r>
    <x v="46"/>
    <x v="3"/>
    <x v="3"/>
    <x v="1"/>
    <n v="5"/>
    <n v="254.6"/>
    <x v="51"/>
  </r>
  <r>
    <x v="47"/>
    <x v="3"/>
    <x v="5"/>
    <x v="2"/>
    <n v="37"/>
    <n v="18.760000000000002"/>
    <x v="52"/>
  </r>
  <r>
    <x v="48"/>
    <x v="0"/>
    <x v="5"/>
    <x v="3"/>
    <n v="33"/>
    <n v="38.47"/>
    <x v="53"/>
  </r>
  <r>
    <x v="49"/>
    <x v="1"/>
    <x v="6"/>
    <x v="3"/>
    <n v="12"/>
    <n v="39.9"/>
    <x v="54"/>
  </r>
  <r>
    <x v="50"/>
    <x v="0"/>
    <x v="2"/>
    <x v="3"/>
    <n v="39"/>
    <n v="41.61"/>
    <x v="55"/>
  </r>
  <r>
    <x v="51"/>
    <x v="0"/>
    <x v="1"/>
    <x v="4"/>
    <n v="16"/>
    <n v="860.48"/>
    <x v="56"/>
  </r>
  <r>
    <x v="51"/>
    <x v="3"/>
    <x v="0"/>
    <x v="2"/>
    <n v="12"/>
    <n v="20.94"/>
    <x v="57"/>
  </r>
  <r>
    <x v="52"/>
    <x v="0"/>
    <x v="3"/>
    <x v="3"/>
    <n v="6"/>
    <n v="39.76"/>
    <x v="58"/>
  </r>
  <r>
    <x v="53"/>
    <x v="0"/>
    <x v="6"/>
    <x v="3"/>
    <n v="28"/>
    <n v="41.57"/>
    <x v="59"/>
  </r>
  <r>
    <x v="54"/>
    <x v="2"/>
    <x v="1"/>
    <x v="1"/>
    <n v="12"/>
    <n v="269.07"/>
    <x v="60"/>
  </r>
  <r>
    <x v="55"/>
    <x v="0"/>
    <x v="3"/>
    <x v="3"/>
    <n v="36"/>
    <n v="37.020000000000003"/>
    <x v="61"/>
  </r>
  <r>
    <x v="56"/>
    <x v="3"/>
    <x v="0"/>
    <x v="0"/>
    <n v="37"/>
    <n v="144.03"/>
    <x v="62"/>
  </r>
  <r>
    <x v="57"/>
    <x v="2"/>
    <x v="7"/>
    <x v="2"/>
    <n v="16"/>
    <n v="21.5"/>
    <x v="63"/>
  </r>
  <r>
    <x v="57"/>
    <x v="0"/>
    <x v="4"/>
    <x v="4"/>
    <n v="22"/>
    <n v="843.38"/>
    <x v="64"/>
  </r>
  <r>
    <x v="58"/>
    <x v="3"/>
    <x v="0"/>
    <x v="2"/>
    <n v="29"/>
    <n v="19.04"/>
    <x v="65"/>
  </r>
  <r>
    <x v="59"/>
    <x v="0"/>
    <x v="4"/>
    <x v="0"/>
    <n v="20"/>
    <n v="162.94999999999999"/>
    <x v="66"/>
  </r>
  <r>
    <x v="60"/>
    <x v="2"/>
    <x v="6"/>
    <x v="0"/>
    <n v="40"/>
    <n v="155.05000000000001"/>
    <x v="67"/>
  </r>
  <r>
    <x v="61"/>
    <x v="1"/>
    <x v="1"/>
    <x v="1"/>
    <n v="5"/>
    <n v="241.9"/>
    <x v="68"/>
  </r>
  <r>
    <x v="62"/>
    <x v="0"/>
    <x v="5"/>
    <x v="4"/>
    <n v="30"/>
    <n v="819.39"/>
    <x v="69"/>
  </r>
  <r>
    <x v="63"/>
    <x v="1"/>
    <x v="3"/>
    <x v="4"/>
    <n v="36"/>
    <n v="766.91"/>
    <x v="70"/>
  </r>
  <r>
    <x v="64"/>
    <x v="3"/>
    <x v="7"/>
    <x v="0"/>
    <n v="15"/>
    <n v="155.54"/>
    <x v="71"/>
  </r>
  <r>
    <x v="65"/>
    <x v="3"/>
    <x v="4"/>
    <x v="1"/>
    <n v="27"/>
    <n v="244.47"/>
    <x v="72"/>
  </r>
  <r>
    <x v="66"/>
    <x v="0"/>
    <x v="4"/>
    <x v="4"/>
    <n v="44"/>
    <n v="861.57"/>
    <x v="73"/>
  </r>
  <r>
    <x v="66"/>
    <x v="2"/>
    <x v="4"/>
    <x v="2"/>
    <n v="38"/>
    <n v="20.260000000000002"/>
    <x v="74"/>
  </r>
  <r>
    <x v="67"/>
    <x v="2"/>
    <x v="1"/>
    <x v="2"/>
    <n v="23"/>
    <n v="19.22"/>
    <x v="75"/>
  </r>
  <r>
    <x v="68"/>
    <x v="2"/>
    <x v="6"/>
    <x v="2"/>
    <n v="29"/>
    <n v="21.17"/>
    <x v="76"/>
  </r>
  <r>
    <x v="69"/>
    <x v="2"/>
    <x v="4"/>
    <x v="0"/>
    <n v="6"/>
    <n v="160.54"/>
    <x v="77"/>
  </r>
  <r>
    <x v="70"/>
    <x v="3"/>
    <x v="0"/>
    <x v="4"/>
    <n v="19"/>
    <n v="802.47"/>
    <x v="78"/>
  </r>
  <r>
    <x v="71"/>
    <x v="1"/>
    <x v="2"/>
    <x v="2"/>
    <n v="2"/>
    <n v="18.45"/>
    <x v="79"/>
  </r>
  <r>
    <x v="72"/>
    <x v="0"/>
    <x v="4"/>
    <x v="4"/>
    <n v="17"/>
    <n v="748.57"/>
    <x v="80"/>
  </r>
  <r>
    <x v="73"/>
    <x v="1"/>
    <x v="0"/>
    <x v="1"/>
    <n v="15"/>
    <n v="244.15"/>
    <x v="81"/>
  </r>
  <r>
    <x v="73"/>
    <x v="1"/>
    <x v="2"/>
    <x v="1"/>
    <n v="42"/>
    <n v="228.43"/>
    <x v="82"/>
  </r>
  <r>
    <x v="74"/>
    <x v="1"/>
    <x v="2"/>
    <x v="0"/>
    <n v="36"/>
    <n v="139.44"/>
    <x v="83"/>
  </r>
  <r>
    <x v="75"/>
    <x v="1"/>
    <x v="7"/>
    <x v="3"/>
    <n v="14"/>
    <n v="39.44"/>
    <x v="65"/>
  </r>
  <r>
    <x v="76"/>
    <x v="0"/>
    <x v="2"/>
    <x v="2"/>
    <n v="18"/>
    <n v="19.23"/>
    <x v="84"/>
  </r>
  <r>
    <x v="77"/>
    <x v="3"/>
    <x v="0"/>
    <x v="1"/>
    <n v="19"/>
    <n v="235.89"/>
    <x v="85"/>
  </r>
  <r>
    <x v="78"/>
    <x v="0"/>
    <x v="6"/>
    <x v="0"/>
    <n v="47"/>
    <n v="161.76"/>
    <x v="86"/>
  </r>
  <r>
    <x v="79"/>
    <x v="0"/>
    <x v="3"/>
    <x v="0"/>
    <n v="26"/>
    <n v="145.86000000000001"/>
    <x v="87"/>
  </r>
  <r>
    <x v="79"/>
    <x v="1"/>
    <x v="5"/>
    <x v="4"/>
    <n v="45"/>
    <n v="864.63"/>
    <x v="88"/>
  </r>
  <r>
    <x v="80"/>
    <x v="1"/>
    <x v="5"/>
    <x v="0"/>
    <n v="14"/>
    <n v="150.18"/>
    <x v="89"/>
  </r>
  <r>
    <x v="80"/>
    <x v="2"/>
    <x v="6"/>
    <x v="3"/>
    <n v="50"/>
    <n v="38.950000000000003"/>
    <x v="90"/>
  </r>
  <r>
    <x v="81"/>
    <x v="2"/>
    <x v="4"/>
    <x v="0"/>
    <n v="6"/>
    <n v="147.58000000000001"/>
    <x v="91"/>
  </r>
  <r>
    <x v="82"/>
    <x v="3"/>
    <x v="1"/>
    <x v="2"/>
    <n v="27"/>
    <n v="18.760000000000002"/>
    <x v="92"/>
  </r>
  <r>
    <x v="83"/>
    <x v="0"/>
    <x v="6"/>
    <x v="2"/>
    <n v="29"/>
    <n v="20.7"/>
    <x v="93"/>
  </r>
  <r>
    <x v="84"/>
    <x v="0"/>
    <x v="7"/>
    <x v="1"/>
    <n v="43"/>
    <n v="260.81"/>
    <x v="94"/>
  </r>
  <r>
    <x v="85"/>
    <x v="1"/>
    <x v="3"/>
    <x v="2"/>
    <n v="1"/>
    <n v="21.77"/>
    <x v="95"/>
  </r>
  <r>
    <x v="86"/>
    <x v="0"/>
    <x v="4"/>
    <x v="1"/>
    <n v="45"/>
    <n v="246.13"/>
    <x v="96"/>
  </r>
  <r>
    <x v="86"/>
    <x v="2"/>
    <x v="1"/>
    <x v="4"/>
    <n v="5"/>
    <n v="833.25"/>
    <x v="97"/>
  </r>
  <r>
    <x v="87"/>
    <x v="0"/>
    <x v="2"/>
    <x v="1"/>
    <n v="6"/>
    <n v="238.95"/>
    <x v="98"/>
  </r>
  <r>
    <x v="88"/>
    <x v="2"/>
    <x v="6"/>
    <x v="1"/>
    <n v="18"/>
    <n v="246.79"/>
    <x v="99"/>
  </r>
  <r>
    <x v="89"/>
    <x v="3"/>
    <x v="1"/>
    <x v="0"/>
    <n v="49"/>
    <n v="156.9"/>
    <x v="100"/>
  </r>
  <r>
    <x v="89"/>
    <x v="1"/>
    <x v="0"/>
    <x v="3"/>
    <n v="7"/>
    <n v="40.630000000000003"/>
    <x v="101"/>
  </r>
  <r>
    <x v="90"/>
    <x v="1"/>
    <x v="6"/>
    <x v="2"/>
    <n v="41"/>
    <n v="20.3"/>
    <x v="102"/>
  </r>
  <r>
    <x v="91"/>
    <x v="2"/>
    <x v="1"/>
    <x v="1"/>
    <n v="31"/>
    <n v="258.47000000000003"/>
    <x v="103"/>
  </r>
  <r>
    <x v="92"/>
    <x v="0"/>
    <x v="1"/>
    <x v="4"/>
    <n v="3"/>
    <n v="825.8"/>
    <x v="104"/>
  </r>
  <r>
    <x v="92"/>
    <x v="2"/>
    <x v="5"/>
    <x v="3"/>
    <n v="44"/>
    <n v="40.799999999999997"/>
    <x v="105"/>
  </r>
  <r>
    <x v="93"/>
    <x v="0"/>
    <x v="5"/>
    <x v="1"/>
    <n v="44"/>
    <n v="240.52"/>
    <x v="106"/>
  </r>
  <r>
    <x v="94"/>
    <x v="0"/>
    <x v="0"/>
    <x v="3"/>
    <n v="23"/>
    <n v="37.68"/>
    <x v="107"/>
  </r>
  <r>
    <x v="95"/>
    <x v="0"/>
    <x v="0"/>
    <x v="2"/>
    <n v="36"/>
    <n v="20.82"/>
    <x v="108"/>
  </r>
  <r>
    <x v="96"/>
    <x v="1"/>
    <x v="4"/>
    <x v="3"/>
    <n v="16"/>
    <n v="37.79"/>
    <x v="109"/>
  </r>
  <r>
    <x v="97"/>
    <x v="3"/>
    <x v="0"/>
    <x v="3"/>
    <n v="9"/>
    <n v="37.97"/>
    <x v="110"/>
  </r>
  <r>
    <x v="98"/>
    <x v="1"/>
    <x v="4"/>
    <x v="1"/>
    <n v="13"/>
    <n v="266.95999999999998"/>
    <x v="111"/>
  </r>
  <r>
    <x v="98"/>
    <x v="0"/>
    <x v="6"/>
    <x v="2"/>
    <n v="28"/>
    <n v="-5580.2742857142794"/>
    <x v="112"/>
  </r>
  <r>
    <x v="99"/>
    <x v="0"/>
    <x v="6"/>
    <x v="0"/>
    <n v="34"/>
    <n v="145.31"/>
    <x v="113"/>
  </r>
  <r>
    <x v="100"/>
    <x v="2"/>
    <x v="2"/>
    <x v="2"/>
    <n v="5"/>
    <n v="21.8"/>
    <x v="114"/>
  </r>
  <r>
    <x v="101"/>
    <x v="1"/>
    <x v="5"/>
    <x v="2"/>
    <n v="15"/>
    <n v="18.7"/>
    <x v="115"/>
  </r>
  <r>
    <x v="102"/>
    <x v="3"/>
    <x v="6"/>
    <x v="2"/>
    <n v="16"/>
    <n v="18.59"/>
    <x v="116"/>
  </r>
  <r>
    <x v="102"/>
    <x v="3"/>
    <x v="4"/>
    <x v="0"/>
    <n v="16"/>
    <n v="162.52000000000001"/>
    <x v="117"/>
  </r>
  <r>
    <x v="103"/>
    <x v="0"/>
    <x v="1"/>
    <x v="3"/>
    <n v="22"/>
    <n v="38.56"/>
    <x v="11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">
  <r>
    <d v="2026-01-01T00:00:00"/>
    <x v="0"/>
    <x v="0"/>
    <x v="0"/>
    <n v="5"/>
    <n v="10000"/>
    <x v="0"/>
    <x v="0"/>
    <n v="2026"/>
  </r>
  <r>
    <d v="2026-01-02T00:00:00"/>
    <x v="1"/>
    <x v="1"/>
    <x v="1"/>
    <n v="8"/>
    <n v="2500"/>
    <x v="1"/>
    <x v="0"/>
    <n v="2026"/>
  </r>
  <r>
    <d v="2026-01-03T00:00:00"/>
    <x v="2"/>
    <x v="2"/>
    <x v="2"/>
    <n v="12"/>
    <n v="1800"/>
    <x v="2"/>
    <x v="0"/>
    <n v="2026"/>
  </r>
  <r>
    <d v="2026-01-04T00:00:00"/>
    <x v="3"/>
    <x v="3"/>
    <x v="3"/>
    <n v="3"/>
    <n v="3200"/>
    <x v="3"/>
    <x v="0"/>
    <n v="2026"/>
  </r>
  <r>
    <d v="2026-01-05T00:00:00"/>
    <x v="0"/>
    <x v="4"/>
    <x v="4"/>
    <n v="10"/>
    <n v="5000"/>
    <x v="0"/>
    <x v="0"/>
    <n v="2026"/>
  </r>
  <r>
    <d v="2026-01-06T00:00:00"/>
    <x v="1"/>
    <x v="5"/>
    <x v="0"/>
    <n v="7"/>
    <n v="2200"/>
    <x v="4"/>
    <x v="0"/>
    <n v="2026"/>
  </r>
  <r>
    <d v="2026-01-07T00:00:00"/>
    <x v="2"/>
    <x v="6"/>
    <x v="1"/>
    <n v="15"/>
    <n v="1700"/>
    <x v="5"/>
    <x v="0"/>
    <n v="2026"/>
  </r>
  <r>
    <d v="2026-01-08T00:00:00"/>
    <x v="3"/>
    <x v="7"/>
    <x v="2"/>
    <n v="6"/>
    <n v="2800"/>
    <x v="6"/>
    <x v="0"/>
    <n v="2026"/>
  </r>
  <r>
    <d v="2026-01-09T00:00:00"/>
    <x v="0"/>
    <x v="0"/>
    <x v="3"/>
    <n v="9"/>
    <n v="3500"/>
    <x v="7"/>
    <x v="0"/>
    <n v="2026"/>
  </r>
  <r>
    <d v="2026-01-10T00:00:00"/>
    <x v="1"/>
    <x v="1"/>
    <x v="4"/>
    <n v="11"/>
    <n v="4500"/>
    <x v="8"/>
    <x v="0"/>
    <n v="2026"/>
  </r>
  <r>
    <d v="2026-01-11T00:00:00"/>
    <x v="2"/>
    <x v="2"/>
    <x v="0"/>
    <n v="4"/>
    <n v="1600"/>
    <x v="9"/>
    <x v="0"/>
    <n v="2026"/>
  </r>
  <r>
    <d v="2026-01-12T00:00:00"/>
    <x v="3"/>
    <x v="3"/>
    <x v="1"/>
    <n v="13"/>
    <n v="3000"/>
    <x v="10"/>
    <x v="0"/>
    <n v="2026"/>
  </r>
  <r>
    <d v="2026-01-13T00:00:00"/>
    <x v="0"/>
    <x v="4"/>
    <x v="2"/>
    <n v="8"/>
    <n v="2400"/>
    <x v="11"/>
    <x v="0"/>
    <n v="2026"/>
  </r>
  <r>
    <d v="2026-01-14T00:00:00"/>
    <x v="1"/>
    <x v="5"/>
    <x v="3"/>
    <n v="5"/>
    <n v="1900"/>
    <x v="12"/>
    <x v="0"/>
    <n v="2026"/>
  </r>
  <r>
    <d v="2026-01-15T00:00:00"/>
    <x v="2"/>
    <x v="6"/>
    <x v="4"/>
    <n v="16"/>
    <n v="5200"/>
    <x v="13"/>
    <x v="0"/>
    <n v="2026"/>
  </r>
  <r>
    <d v="2026-01-16T00:00:00"/>
    <x v="3"/>
    <x v="7"/>
    <x v="0"/>
    <n v="10"/>
    <n v="2600"/>
    <x v="14"/>
    <x v="0"/>
    <n v="2026"/>
  </r>
  <r>
    <d v="2026-01-17T00:00:00"/>
    <x v="0"/>
    <x v="0"/>
    <x v="1"/>
    <n v="7"/>
    <n v="2100"/>
    <x v="15"/>
    <x v="0"/>
    <n v="2026"/>
  </r>
  <r>
    <d v="2026-01-18T00:00:00"/>
    <x v="1"/>
    <x v="1"/>
    <x v="2"/>
    <n v="14"/>
    <n v="3300"/>
    <x v="16"/>
    <x v="0"/>
    <n v="2026"/>
  </r>
  <r>
    <d v="2026-01-19T00:00:00"/>
    <x v="2"/>
    <x v="2"/>
    <x v="3"/>
    <n v="9"/>
    <n v="4000"/>
    <x v="17"/>
    <x v="0"/>
    <n v="2026"/>
  </r>
  <r>
    <d v="2026-01-20T00:00:00"/>
    <x v="3"/>
    <x v="3"/>
    <x v="4"/>
    <n v="12"/>
    <n v="4800"/>
    <x v="18"/>
    <x v="0"/>
    <n v="2026"/>
  </r>
  <r>
    <d v="2026-01-21T00:00:00"/>
    <x v="0"/>
    <x v="4"/>
    <x v="0"/>
    <n v="6"/>
    <n v="1400"/>
    <x v="19"/>
    <x v="0"/>
    <n v="2026"/>
  </r>
  <r>
    <d v="2026-01-22T00:00:00"/>
    <x v="1"/>
    <x v="5"/>
    <x v="1"/>
    <n v="18"/>
    <n v="2900"/>
    <x v="20"/>
    <x v="0"/>
    <n v="2026"/>
  </r>
  <r>
    <d v="2026-01-23T00:00:00"/>
    <x v="2"/>
    <x v="6"/>
    <x v="2"/>
    <n v="11"/>
    <n v="3600"/>
    <x v="21"/>
    <x v="0"/>
    <n v="2026"/>
  </r>
  <r>
    <d v="2026-01-24T00:00:00"/>
    <x v="3"/>
    <x v="7"/>
    <x v="3"/>
    <n v="5"/>
    <n v="5100"/>
    <x v="5"/>
    <x v="0"/>
    <n v="2026"/>
  </r>
  <r>
    <d v="2026-01-25T00:00:00"/>
    <x v="0"/>
    <x v="0"/>
    <x v="4"/>
    <n v="20"/>
    <n v="2300"/>
    <x v="22"/>
    <x v="0"/>
    <n v="2026"/>
  </r>
  <r>
    <d v="2026-01-26T00:00:00"/>
    <x v="1"/>
    <x v="1"/>
    <x v="0"/>
    <n v="8"/>
    <n v="1800"/>
    <x v="23"/>
    <x v="0"/>
    <n v="2026"/>
  </r>
  <r>
    <d v="2026-01-27T00:00:00"/>
    <x v="2"/>
    <x v="2"/>
    <x v="1"/>
    <n v="13"/>
    <n v="2700"/>
    <x v="24"/>
    <x v="0"/>
    <n v="2026"/>
  </r>
  <r>
    <d v="2026-01-28T00:00:00"/>
    <x v="3"/>
    <x v="3"/>
    <x v="2"/>
    <n v="7"/>
    <n v="3400"/>
    <x v="25"/>
    <x v="0"/>
    <n v="2026"/>
  </r>
  <r>
    <d v="2026-01-29T00:00:00"/>
    <x v="0"/>
    <x v="4"/>
    <x v="3"/>
    <n v="15"/>
    <n v="4600"/>
    <x v="26"/>
    <x v="0"/>
    <n v="2026"/>
  </r>
  <r>
    <d v="2026-01-30T00:00:00"/>
    <x v="1"/>
    <x v="5"/>
    <x v="4"/>
    <n v="9"/>
    <n v="2000"/>
    <x v="27"/>
    <x v="0"/>
    <n v="2026"/>
  </r>
  <r>
    <d v="2026-01-31T00:00:00"/>
    <x v="2"/>
    <x v="6"/>
    <x v="0"/>
    <n v="10"/>
    <n v="3100"/>
    <x v="28"/>
    <x v="0"/>
    <n v="2026"/>
  </r>
  <r>
    <d v="2026-02-01T00:00:00"/>
    <x v="3"/>
    <x v="7"/>
    <x v="1"/>
    <n v="6"/>
    <n v="1500"/>
    <x v="29"/>
    <x v="1"/>
    <n v="2026"/>
  </r>
  <r>
    <d v="2026-02-02T00:00:00"/>
    <x v="0"/>
    <x v="0"/>
    <x v="2"/>
    <n v="17"/>
    <n v="2500"/>
    <x v="30"/>
    <x v="1"/>
    <n v="2026"/>
  </r>
  <r>
    <d v="2026-02-03T00:00:00"/>
    <x v="1"/>
    <x v="1"/>
    <x v="3"/>
    <n v="12"/>
    <n v="3800"/>
    <x v="31"/>
    <x v="1"/>
    <n v="2026"/>
  </r>
  <r>
    <d v="2026-02-04T00:00:00"/>
    <x v="2"/>
    <x v="2"/>
    <x v="4"/>
    <n v="8"/>
    <n v="4200"/>
    <x v="32"/>
    <x v="1"/>
    <n v="2026"/>
  </r>
  <r>
    <d v="2026-02-05T00:00:00"/>
    <x v="3"/>
    <x v="3"/>
    <x v="0"/>
    <n v="14"/>
    <n v="1700"/>
    <x v="25"/>
    <x v="1"/>
    <n v="2026"/>
  </r>
  <r>
    <d v="2026-02-06T00:00:00"/>
    <x v="0"/>
    <x v="4"/>
    <x v="1"/>
    <n v="5"/>
    <n v="2800"/>
    <x v="33"/>
    <x v="1"/>
    <n v="2026"/>
  </r>
  <r>
    <d v="2026-02-07T00:00:00"/>
    <x v="1"/>
    <x v="5"/>
    <x v="2"/>
    <n v="11"/>
    <n v="5000"/>
    <x v="34"/>
    <x v="1"/>
    <n v="2026"/>
  </r>
  <r>
    <d v="2026-02-08T00:00:00"/>
    <x v="2"/>
    <x v="6"/>
    <x v="3"/>
    <n v="16"/>
    <n v="2200"/>
    <x v="35"/>
    <x v="1"/>
    <n v="2026"/>
  </r>
  <r>
    <d v="2026-02-09T00:00:00"/>
    <x v="3"/>
    <x v="7"/>
    <x v="4"/>
    <n v="9"/>
    <n v="3500"/>
    <x v="7"/>
    <x v="1"/>
    <n v="2026"/>
  </r>
  <r>
    <d v="2026-02-10T00:00:00"/>
    <x v="0"/>
    <x v="0"/>
    <x v="0"/>
    <n v="7"/>
    <n v="1900"/>
    <x v="36"/>
    <x v="1"/>
    <n v="2026"/>
  </r>
  <r>
    <d v="2026-02-11T00:00:00"/>
    <x v="1"/>
    <x v="1"/>
    <x v="1"/>
    <n v="13"/>
    <n v="3000"/>
    <x v="10"/>
    <x v="1"/>
    <n v="2026"/>
  </r>
  <r>
    <d v="2026-02-12T00:00:00"/>
    <x v="2"/>
    <x v="2"/>
    <x v="2"/>
    <n v="10"/>
    <n v="4500"/>
    <x v="37"/>
    <x v="1"/>
    <n v="2026"/>
  </r>
  <r>
    <d v="2026-02-13T00:00:00"/>
    <x v="3"/>
    <x v="3"/>
    <x v="3"/>
    <n v="18"/>
    <n v="1600"/>
    <x v="38"/>
    <x v="1"/>
    <n v="2026"/>
  </r>
  <r>
    <d v="2026-02-14T00:00:00"/>
    <x v="0"/>
    <x v="4"/>
    <x v="4"/>
    <n v="6"/>
    <n v="2600"/>
    <x v="39"/>
    <x v="1"/>
    <n v="2026"/>
  </r>
  <r>
    <d v="2026-02-15T00:00:00"/>
    <x v="1"/>
    <x v="5"/>
    <x v="0"/>
    <n v="15"/>
    <n v="3200"/>
    <x v="40"/>
    <x v="1"/>
    <n v="2026"/>
  </r>
  <r>
    <d v="2026-02-16T00:00:00"/>
    <x v="2"/>
    <x v="6"/>
    <x v="1"/>
    <n v="8"/>
    <n v="2100"/>
    <x v="6"/>
    <x v="1"/>
    <n v="2026"/>
  </r>
  <r>
    <d v="2026-02-17T00:00:00"/>
    <x v="3"/>
    <x v="7"/>
    <x v="2"/>
    <n v="12"/>
    <n v="4000"/>
    <x v="40"/>
    <x v="1"/>
    <n v="2026"/>
  </r>
  <r>
    <d v="2026-02-18T00:00:00"/>
    <x v="0"/>
    <x v="0"/>
    <x v="3"/>
    <n v="9"/>
    <n v="1800"/>
    <x v="41"/>
    <x v="1"/>
    <n v="2026"/>
  </r>
  <r>
    <d v="2026-02-19T00:00:00"/>
    <x v="1"/>
    <x v="1"/>
    <x v="4"/>
    <n v="20"/>
    <n v="5200"/>
    <x v="42"/>
    <x v="1"/>
    <n v="2026"/>
  </r>
  <r>
    <d v="2026-02-20T00:00:00"/>
    <x v="2"/>
    <x v="2"/>
    <x v="0"/>
    <n v="5"/>
    <n v="2400"/>
    <x v="43"/>
    <x v="1"/>
    <n v="2026"/>
  </r>
  <r>
    <d v="2026-02-21T00:00:00"/>
    <x v="3"/>
    <x v="3"/>
    <x v="1"/>
    <n v="14"/>
    <n v="2900"/>
    <x v="44"/>
    <x v="1"/>
    <n v="2026"/>
  </r>
  <r>
    <d v="2026-02-22T00:00:00"/>
    <x v="0"/>
    <x v="4"/>
    <x v="2"/>
    <n v="11"/>
    <n v="3600"/>
    <x v="21"/>
    <x v="1"/>
    <n v="2026"/>
  </r>
  <r>
    <d v="2026-02-23T00:00:00"/>
    <x v="1"/>
    <x v="5"/>
    <x v="3"/>
    <n v="7"/>
    <n v="1700"/>
    <x v="45"/>
    <x v="1"/>
    <n v="2026"/>
  </r>
  <r>
    <d v="2026-02-24T00:00:00"/>
    <x v="2"/>
    <x v="6"/>
    <x v="4"/>
    <n v="16"/>
    <n v="3300"/>
    <x v="46"/>
    <x v="1"/>
    <n v="2026"/>
  </r>
  <r>
    <d v="2026-02-25T00:00:00"/>
    <x v="3"/>
    <x v="7"/>
    <x v="0"/>
    <n v="10"/>
    <n v="5000"/>
    <x v="0"/>
    <x v="1"/>
    <n v="2026"/>
  </r>
  <r>
    <d v="2026-02-26T00:00:00"/>
    <x v="0"/>
    <x v="0"/>
    <x v="1"/>
    <n v="13"/>
    <n v="2200"/>
    <x v="47"/>
    <x v="1"/>
    <n v="2026"/>
  </r>
  <r>
    <d v="2026-02-27T00:00:00"/>
    <x v="1"/>
    <x v="1"/>
    <x v="2"/>
    <n v="8"/>
    <n v="3800"/>
    <x v="48"/>
    <x v="1"/>
    <n v="2026"/>
  </r>
  <r>
    <d v="2026-02-28T00:00:00"/>
    <x v="2"/>
    <x v="2"/>
    <x v="3"/>
    <n v="15"/>
    <n v="4500"/>
    <x v="49"/>
    <x v="1"/>
    <n v="2026"/>
  </r>
  <r>
    <d v="2026-03-01T00:00:00"/>
    <x v="3"/>
    <x v="3"/>
    <x v="4"/>
    <n v="6"/>
    <n v="2000"/>
    <x v="43"/>
    <x v="2"/>
    <n v="2026"/>
  </r>
  <r>
    <d v="2026-03-02T00:00:00"/>
    <x v="0"/>
    <x v="4"/>
    <x v="0"/>
    <n v="12"/>
    <n v="3100"/>
    <x v="50"/>
    <x v="2"/>
    <n v="2026"/>
  </r>
  <r>
    <d v="2026-03-03T00:00:00"/>
    <x v="1"/>
    <x v="5"/>
    <x v="1"/>
    <n v="9"/>
    <n v="1500"/>
    <x v="51"/>
    <x v="2"/>
    <n v="2026"/>
  </r>
  <r>
    <d v="2026-03-04T00:00:00"/>
    <x v="2"/>
    <x v="6"/>
    <x v="2"/>
    <n v="17"/>
    <n v="2700"/>
    <x v="52"/>
    <x v="2"/>
    <n v="2026"/>
  </r>
  <r>
    <d v="2026-03-05T00:00:00"/>
    <x v="3"/>
    <x v="7"/>
    <x v="3"/>
    <n v="5"/>
    <n v="4200"/>
    <x v="53"/>
    <x v="2"/>
    <n v="2026"/>
  </r>
  <r>
    <d v="2026-03-06T00:00:00"/>
    <x v="0"/>
    <x v="0"/>
    <x v="4"/>
    <n v="14"/>
    <n v="1800"/>
    <x v="54"/>
    <x v="2"/>
    <n v="2026"/>
  </r>
  <r>
    <d v="2026-03-07T00:00:00"/>
    <x v="1"/>
    <x v="1"/>
    <x v="0"/>
    <n v="11"/>
    <n v="3400"/>
    <x v="55"/>
    <x v="2"/>
    <n v="2026"/>
  </r>
  <r>
    <d v="2026-03-08T00:00:00"/>
    <x v="2"/>
    <x v="2"/>
    <x v="1"/>
    <n v="8"/>
    <n v="5100"/>
    <x v="56"/>
    <x v="2"/>
    <n v="2026"/>
  </r>
  <r>
    <d v="2026-03-09T00:00:00"/>
    <x v="3"/>
    <x v="3"/>
    <x v="2"/>
    <n v="16"/>
    <n v="2300"/>
    <x v="57"/>
    <x v="2"/>
    <n v="2026"/>
  </r>
  <r>
    <d v="2026-03-10T00:00:00"/>
    <x v="0"/>
    <x v="4"/>
    <x v="3"/>
    <n v="10"/>
    <n v="2800"/>
    <x v="58"/>
    <x v="2"/>
    <n v="2026"/>
  </r>
  <r>
    <d v="2026-03-11T00:00:00"/>
    <x v="1"/>
    <x v="5"/>
    <x v="4"/>
    <n v="7"/>
    <n v="4000"/>
    <x v="58"/>
    <x v="2"/>
    <n v="2026"/>
  </r>
  <r>
    <d v="2026-03-12T00:00:00"/>
    <x v="2"/>
    <x v="6"/>
    <x v="0"/>
    <n v="13"/>
    <n v="1600"/>
    <x v="59"/>
    <x v="2"/>
    <n v="2026"/>
  </r>
  <r>
    <d v="2026-03-13T00:00:00"/>
    <x v="3"/>
    <x v="7"/>
    <x v="1"/>
    <n v="18"/>
    <n v="3000"/>
    <x v="60"/>
    <x v="2"/>
    <n v="2026"/>
  </r>
  <r>
    <d v="2026-03-14T00:00:00"/>
    <x v="0"/>
    <x v="0"/>
    <x v="2"/>
    <n v="6"/>
    <n v="4600"/>
    <x v="61"/>
    <x v="2"/>
    <n v="2026"/>
  </r>
  <r>
    <d v="2026-03-15T00:00:00"/>
    <x v="1"/>
    <x v="1"/>
    <x v="3"/>
    <n v="15"/>
    <n v="1900"/>
    <x v="62"/>
    <x v="2"/>
    <n v="2026"/>
  </r>
  <r>
    <d v="2026-03-16T00:00:00"/>
    <x v="2"/>
    <x v="2"/>
    <x v="4"/>
    <n v="9"/>
    <n v="2500"/>
    <x v="63"/>
    <x v="2"/>
    <n v="2026"/>
  </r>
  <r>
    <d v="2026-03-17T00:00:00"/>
    <x v="3"/>
    <x v="3"/>
    <x v="0"/>
    <n v="12"/>
    <n v="3500"/>
    <x v="64"/>
    <x v="2"/>
    <n v="2026"/>
  </r>
  <r>
    <d v="2026-03-18T00:00:00"/>
    <x v="0"/>
    <x v="4"/>
    <x v="1"/>
    <n v="5"/>
    <n v="2100"/>
    <x v="65"/>
    <x v="2"/>
    <n v="2026"/>
  </r>
  <r>
    <d v="2026-03-19T00:00:00"/>
    <x v="1"/>
    <x v="5"/>
    <x v="2"/>
    <n v="14"/>
    <n v="3200"/>
    <x v="66"/>
    <x v="2"/>
    <n v="2026"/>
  </r>
  <r>
    <d v="2026-03-20T00:00:00"/>
    <x v="2"/>
    <x v="6"/>
    <x v="3"/>
    <n v="11"/>
    <n v="4800"/>
    <x v="46"/>
    <x v="2"/>
    <n v="2026"/>
  </r>
  <r>
    <d v="2026-03-21T00:00:00"/>
    <x v="3"/>
    <x v="7"/>
    <x v="4"/>
    <n v="8"/>
    <n v="1700"/>
    <x v="67"/>
    <x v="2"/>
    <n v="2026"/>
  </r>
  <r>
    <d v="2026-03-22T00:00:00"/>
    <x v="0"/>
    <x v="0"/>
    <x v="0"/>
    <n v="17"/>
    <n v="2900"/>
    <x v="68"/>
    <x v="2"/>
    <n v="2026"/>
  </r>
  <r>
    <d v="2026-03-23T00:00:00"/>
    <x v="1"/>
    <x v="1"/>
    <x v="1"/>
    <n v="10"/>
    <n v="5000"/>
    <x v="0"/>
    <x v="2"/>
    <n v="2026"/>
  </r>
  <r>
    <d v="2026-03-24T00:00:00"/>
    <x v="2"/>
    <x v="2"/>
    <x v="2"/>
    <n v="13"/>
    <n v="2200"/>
    <x v="47"/>
    <x v="2"/>
    <n v="2026"/>
  </r>
  <r>
    <d v="2026-03-25T00:00:00"/>
    <x v="3"/>
    <x v="3"/>
    <x v="3"/>
    <n v="7"/>
    <n v="3600"/>
    <x v="54"/>
    <x v="2"/>
    <n v="2026"/>
  </r>
  <r>
    <d v="2026-03-26T00:00:00"/>
    <x v="0"/>
    <x v="4"/>
    <x v="4"/>
    <n v="16"/>
    <n v="4500"/>
    <x v="69"/>
    <x v="2"/>
    <n v="2026"/>
  </r>
  <r>
    <d v="2026-03-27T00:00:00"/>
    <x v="1"/>
    <x v="5"/>
    <x v="0"/>
    <n v="9"/>
    <n v="1800"/>
    <x v="41"/>
    <x v="2"/>
    <n v="2026"/>
  </r>
  <r>
    <d v="2026-03-28T00:00:00"/>
    <x v="2"/>
    <x v="6"/>
    <x v="1"/>
    <n v="12"/>
    <n v="3100"/>
    <x v="50"/>
    <x v="2"/>
    <n v="2026"/>
  </r>
  <r>
    <d v="2026-03-29T00:00:00"/>
    <x v="3"/>
    <x v="7"/>
    <x v="2"/>
    <n v="6"/>
    <n v="2400"/>
    <x v="23"/>
    <x v="2"/>
    <n v="2026"/>
  </r>
  <r>
    <d v="2026-03-30T00:00:00"/>
    <x v="0"/>
    <x v="0"/>
    <x v="3"/>
    <n v="15"/>
    <n v="3800"/>
    <x v="70"/>
    <x v="2"/>
    <n v="2026"/>
  </r>
  <r>
    <d v="2026-03-31T00:00:00"/>
    <x v="1"/>
    <x v="1"/>
    <x v="4"/>
    <n v="8"/>
    <n v="-354850"/>
    <x v="71"/>
    <x v="2"/>
    <n v="2026"/>
  </r>
  <r>
    <d v="2026-04-01T00:00:00"/>
    <x v="2"/>
    <x v="2"/>
    <x v="0"/>
    <n v="20"/>
    <n v="2000"/>
    <x v="72"/>
    <x v="3"/>
    <n v="2026"/>
  </r>
  <r>
    <d v="2026-04-02T00:00:00"/>
    <x v="3"/>
    <x v="3"/>
    <x v="1"/>
    <n v="11"/>
    <n v="3300"/>
    <x v="73"/>
    <x v="3"/>
    <n v="2026"/>
  </r>
  <r>
    <d v="2026-04-03T00:00:00"/>
    <x v="0"/>
    <x v="4"/>
    <x v="2"/>
    <n v="5"/>
    <n v="1500"/>
    <x v="74"/>
    <x v="3"/>
    <n v="2026"/>
  </r>
  <r>
    <d v="2026-04-04T00:00:00"/>
    <x v="1"/>
    <x v="5"/>
    <x v="3"/>
    <n v="14"/>
    <n v="2700"/>
    <x v="75"/>
    <x v="3"/>
    <n v="2026"/>
  </r>
  <r>
    <d v="2026-04-05T00:00:00"/>
    <x v="2"/>
    <x v="6"/>
    <x v="4"/>
    <n v="10"/>
    <n v="4200"/>
    <x v="64"/>
    <x v="3"/>
    <n v="2026"/>
  </r>
  <r>
    <d v="2026-04-06T00:00:00"/>
    <x v="3"/>
    <x v="7"/>
    <x v="0"/>
    <n v="7"/>
    <n v="1900"/>
    <x v="36"/>
    <x v="3"/>
    <n v="2026"/>
  </r>
  <r>
    <d v="2026-04-07T00:00:00"/>
    <x v="0"/>
    <x v="0"/>
    <x v="1"/>
    <n v="13"/>
    <n v="3400"/>
    <x v="76"/>
    <x v="3"/>
    <n v="2026"/>
  </r>
  <r>
    <d v="2026-04-08T00:00:00"/>
    <x v="1"/>
    <x v="1"/>
    <x v="1"/>
    <n v="16"/>
    <n v="5100"/>
    <x v="77"/>
    <x v="3"/>
    <n v="2026"/>
  </r>
  <r>
    <d v="2026-04-09T00:00:00"/>
    <x v="2"/>
    <x v="2"/>
    <x v="0"/>
    <n v="9"/>
    <n v="2300"/>
    <x v="78"/>
    <x v="3"/>
    <n v="2026"/>
  </r>
  <r>
    <d v="2026-04-10T00:00:00"/>
    <x v="3"/>
    <x v="3"/>
    <x v="1"/>
    <n v="12"/>
    <n v="2800"/>
    <x v="32"/>
    <x v="3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PivotTable9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" rowHeaderCaption="Regions" colHeaderCaption="Products">
  <location ref="K29:L31" firstHeaderRow="1" firstDataRow="1" firstDataCol="1"/>
  <pivotFields count="9">
    <pivotField numFmtId="166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axis="axisRow" showAll="0">
      <items count="5">
        <item x="0"/>
        <item h="1" x="1"/>
        <item h="1" x="2"/>
        <item h="1" x="3"/>
        <item t="default"/>
      </items>
    </pivotField>
    <pivotField showAll="0">
      <items count="9">
        <item x="4"/>
        <item x="1"/>
        <item x="0"/>
        <item x="7"/>
        <item x="6"/>
        <item x="5"/>
        <item x="3"/>
        <item x="2"/>
        <item t="default"/>
      </items>
    </pivotField>
    <pivotField showAll="0">
      <items count="6">
        <item x="3"/>
        <item x="4"/>
        <item x="1"/>
        <item x="2"/>
        <item x="0"/>
        <item t="default"/>
      </items>
    </pivotField>
    <pivotField showAll="0"/>
    <pivotField numFmtId="167" showAll="0"/>
    <pivotField dataField="1" numFmtId="167" showAll="0">
      <items count="120">
        <item x="112"/>
        <item x="95"/>
        <item x="79"/>
        <item x="114"/>
        <item x="24"/>
        <item x="32"/>
        <item x="10"/>
        <item x="58"/>
        <item x="57"/>
        <item x="47"/>
        <item x="115"/>
        <item x="101"/>
        <item x="116"/>
        <item x="110"/>
        <item x="63"/>
        <item x="84"/>
        <item x="75"/>
        <item x="54"/>
        <item x="92"/>
        <item x="29"/>
        <item x="27"/>
        <item x="17"/>
        <item x="65"/>
        <item x="34"/>
        <item x="12"/>
        <item x="93"/>
        <item x="109"/>
        <item x="76"/>
        <item x="52"/>
        <item x="108"/>
        <item x="74"/>
        <item x="102"/>
        <item x="118"/>
        <item x="15"/>
        <item x="22"/>
        <item x="107"/>
        <item x="4"/>
        <item x="91"/>
        <item x="6"/>
        <item x="2"/>
        <item x="77"/>
        <item x="7"/>
        <item x="45"/>
        <item x="0"/>
        <item x="59"/>
        <item x="68"/>
        <item x="31"/>
        <item x="53"/>
        <item x="51"/>
        <item x="61"/>
        <item x="98"/>
        <item x="18"/>
        <item x="23"/>
        <item x="55"/>
        <item x="105"/>
        <item x="49"/>
        <item x="90"/>
        <item x="33"/>
        <item x="89"/>
        <item x="28"/>
        <item x="71"/>
        <item x="104"/>
        <item x="117"/>
        <item x="16"/>
        <item x="60"/>
        <item x="8"/>
        <item x="66"/>
        <item x="111"/>
        <item x="81"/>
        <item x="87"/>
        <item x="37"/>
        <item x="11"/>
        <item x="43"/>
        <item x="97"/>
        <item x="21"/>
        <item x="99"/>
        <item x="40"/>
        <item x="85"/>
        <item x="113"/>
        <item x="83"/>
        <item x="62"/>
        <item x="5"/>
        <item x="35"/>
        <item x="25"/>
        <item x="19"/>
        <item x="26"/>
        <item x="67"/>
        <item x="36"/>
        <item x="72"/>
        <item x="44"/>
        <item x="1"/>
        <item x="3"/>
        <item x="42"/>
        <item x="50"/>
        <item x="86"/>
        <item x="100"/>
        <item x="103"/>
        <item x="38"/>
        <item x="20"/>
        <item x="82"/>
        <item x="106"/>
        <item x="39"/>
        <item x="96"/>
        <item x="94"/>
        <item x="80"/>
        <item x="46"/>
        <item x="56"/>
        <item x="30"/>
        <item x="78"/>
        <item x="9"/>
        <item x="64"/>
        <item x="48"/>
        <item x="41"/>
        <item x="69"/>
        <item x="70"/>
        <item x="13"/>
        <item x="73"/>
        <item x="88"/>
        <item x="14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name="Sum of Total Sales" fld="6" baseField="0" baseItem="0" numFmtId="167"/>
  </dataFields>
  <formats count="4">
    <format dxfId="3">
      <pivotArea field="1" type="button" dataOnly="0" labelOnly="1" outline="0" fieldPosition="0"/>
    </format>
    <format dxfId="2">
      <pivotArea field="1" type="button" dataOnly="0" labelOnly="1" outline="0" fieldPosition="0"/>
    </format>
    <format dxfId="1">
      <pivotArea dataOnly="0" labelOnly="1" outline="0" fieldPosition="0"/>
    </format>
    <format dxfId="0">
      <pivotArea dataOnly="0" labelOnly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PivotTable6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rowHeaderCaption="Regions" colHeaderCaption="Products">
  <location ref="M3:S9" firstHeaderRow="1" firstDataRow="2" firstDataCol="1"/>
  <pivotFields count="9">
    <pivotField numFmtId="166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6">
        <item x="3"/>
        <item x="4"/>
        <item x="1"/>
        <item x="2"/>
        <item x="0"/>
        <item t="default"/>
      </items>
    </pivotField>
    <pivotField showAll="0"/>
    <pivotField numFmtId="167" showAll="0"/>
    <pivotField dataField="1" numFmtId="167" showAll="0">
      <items count="120">
        <item x="112"/>
        <item x="95"/>
        <item x="79"/>
        <item x="114"/>
        <item x="24"/>
        <item x="32"/>
        <item x="10"/>
        <item x="58"/>
        <item x="57"/>
        <item x="47"/>
        <item x="115"/>
        <item x="101"/>
        <item x="116"/>
        <item x="110"/>
        <item x="63"/>
        <item x="84"/>
        <item x="75"/>
        <item x="54"/>
        <item x="92"/>
        <item x="29"/>
        <item x="27"/>
        <item x="17"/>
        <item x="65"/>
        <item x="34"/>
        <item x="12"/>
        <item x="93"/>
        <item x="109"/>
        <item x="76"/>
        <item x="52"/>
        <item x="108"/>
        <item x="74"/>
        <item x="102"/>
        <item x="118"/>
        <item x="15"/>
        <item x="22"/>
        <item x="107"/>
        <item x="4"/>
        <item x="91"/>
        <item x="6"/>
        <item x="2"/>
        <item x="77"/>
        <item x="7"/>
        <item x="45"/>
        <item x="0"/>
        <item x="59"/>
        <item x="68"/>
        <item x="31"/>
        <item x="53"/>
        <item x="51"/>
        <item x="61"/>
        <item x="98"/>
        <item x="18"/>
        <item x="23"/>
        <item x="55"/>
        <item x="105"/>
        <item x="49"/>
        <item x="90"/>
        <item x="33"/>
        <item x="89"/>
        <item x="28"/>
        <item x="71"/>
        <item x="104"/>
        <item x="117"/>
        <item x="16"/>
        <item x="60"/>
        <item x="8"/>
        <item x="66"/>
        <item x="111"/>
        <item x="81"/>
        <item x="87"/>
        <item x="37"/>
        <item x="11"/>
        <item x="43"/>
        <item x="97"/>
        <item x="21"/>
        <item x="99"/>
        <item x="40"/>
        <item x="85"/>
        <item x="113"/>
        <item x="83"/>
        <item x="62"/>
        <item x="5"/>
        <item x="35"/>
        <item x="25"/>
        <item x="19"/>
        <item x="26"/>
        <item x="67"/>
        <item x="36"/>
        <item x="72"/>
        <item x="44"/>
        <item x="1"/>
        <item x="3"/>
        <item x="42"/>
        <item x="50"/>
        <item x="86"/>
        <item x="100"/>
        <item x="103"/>
        <item x="38"/>
        <item x="20"/>
        <item x="82"/>
        <item x="106"/>
        <item x="39"/>
        <item x="96"/>
        <item x="94"/>
        <item x="80"/>
        <item x="46"/>
        <item x="56"/>
        <item x="30"/>
        <item x="78"/>
        <item x="9"/>
        <item x="64"/>
        <item x="48"/>
        <item x="41"/>
        <item x="69"/>
        <item x="70"/>
        <item x="13"/>
        <item x="73"/>
        <item x="88"/>
        <item x="1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 by Region &amp; Product" fld="6" baseField="0" baseItem="0" numFmtId="167"/>
  </dataFields>
  <formats count="20">
    <format dxfId="23">
      <pivotArea type="origin" dataOnly="0" labelOnly="1" outline="0" fieldPosition="0"/>
    </format>
    <format dxfId="22">
      <pivotArea type="origin" dataOnly="0" labelOnly="1" outline="0" fieldPosition="0"/>
    </format>
    <format dxfId="21">
      <pivotArea dataOnly="0" labelOnly="1" fieldPosition="0">
        <references count="1">
          <reference field="3" count="1">
            <x v="0"/>
          </reference>
        </references>
      </pivotArea>
    </format>
    <format dxfId="20">
      <pivotArea dataOnly="0" labelOnly="1" fieldPosition="0">
        <references count="1">
          <reference field="3" count="1">
            <x v="0"/>
          </reference>
        </references>
      </pivotArea>
    </format>
    <format dxfId="19">
      <pivotArea dataOnly="0" labelOnly="1" fieldPosition="0">
        <references count="1">
          <reference field="3" count="1">
            <x v="1"/>
          </reference>
        </references>
      </pivotArea>
    </format>
    <format dxfId="18">
      <pivotArea dataOnly="0" labelOnly="1" fieldPosition="0">
        <references count="1">
          <reference field="3" count="1">
            <x v="1"/>
          </reference>
        </references>
      </pivotArea>
    </format>
    <format dxfId="17">
      <pivotArea dataOnly="0" labelOnly="1" fieldPosition="0">
        <references count="1">
          <reference field="3" count="1">
            <x v="2"/>
          </reference>
        </references>
      </pivotArea>
    </format>
    <format dxfId="16">
      <pivotArea dataOnly="0" labelOnly="1" fieldPosition="0">
        <references count="1">
          <reference field="3" count="1">
            <x v="2"/>
          </reference>
        </references>
      </pivotArea>
    </format>
    <format dxfId="15">
      <pivotArea dataOnly="0" labelOnly="1" fieldPosition="0">
        <references count="1">
          <reference field="3" count="1">
            <x v="3"/>
          </reference>
        </references>
      </pivotArea>
    </format>
    <format dxfId="14">
      <pivotArea dataOnly="0" labelOnly="1" fieldPosition="0">
        <references count="1">
          <reference field="3" count="1">
            <x v="3"/>
          </reference>
        </references>
      </pivotArea>
    </format>
    <format dxfId="13">
      <pivotArea dataOnly="0" labelOnly="1" fieldPosition="0">
        <references count="1">
          <reference field="3" count="1">
            <x v="4"/>
          </reference>
        </references>
      </pivotArea>
    </format>
    <format dxfId="12">
      <pivotArea dataOnly="0" labelOnly="1" fieldPosition="0">
        <references count="1">
          <reference field="3" count="1">
            <x v="4"/>
          </reference>
        </references>
      </pivotArea>
    </format>
    <format dxfId="11">
      <pivotArea dataOnly="0" labelOnly="1" grandCol="1" outline="0" fieldPosition="0"/>
    </format>
    <format dxfId="10">
      <pivotArea dataOnly="0" labelOnly="1" grandCol="1" outline="0" fieldPosition="0"/>
    </format>
    <format dxfId="9">
      <pivotArea dataOnly="0" labelOnly="1" grandRow="1" outline="0" fieldPosition="0"/>
    </format>
    <format dxfId="8">
      <pivotArea dataOnly="0" labelOnly="1" grandRow="1" outline="0" fieldPosition="0"/>
    </format>
    <format dxfId="7">
      <pivotArea field="1" type="button" dataOnly="0" labelOnly="1" outline="0" fieldPosition="0"/>
    </format>
    <format dxfId="6">
      <pivotArea field="1" type="button" dataOnly="0" labelOnly="1" outline="0" fieldPosition="0"/>
    </format>
    <format dxfId="5">
      <pivotArea field="3" type="button" dataOnly="0" labelOnly="1" outline="0" fieldPosition="0"/>
    </format>
    <format dxfId="4">
      <pivotArea field="3" type="button" dataOnly="0" labelOnly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1" cacheId="0" applyNumberFormats="0" applyBorderFormats="0" applyFontFormats="0" applyPatternFormats="0" applyAlignmentFormats="0" applyWidthHeightFormats="1" dataCaption="Values" updatedVersion="8" minRefreshableVersion="3" createdVersion="8" indent="0" outline="1" outlineData="1" multipleFieldFilters="0" rowHeaderCaption="Regions" colHeaderCaption="Products">
  <location ref="J2" firstHeaderRow="0" firstDataRow="0" firstDataCol="0"/>
  <pivotFields count="9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dataField="1" showAll="0">
      <items count="124">
        <item x="112"/>
        <item x="95"/>
        <item x="79"/>
        <item x="114"/>
        <item x="24"/>
        <item x="32"/>
        <item x="10"/>
        <item x="58"/>
        <item x="57"/>
        <item x="47"/>
        <item x="115"/>
        <item x="101"/>
        <item x="116"/>
        <item x="110"/>
        <item x="63"/>
        <item x="84"/>
        <item x="75"/>
        <item x="54"/>
        <item x="92"/>
        <item x="29"/>
        <item x="27"/>
        <item x="17"/>
        <item x="65"/>
        <item x="34"/>
        <item x="12"/>
        <item x="93"/>
        <item x="109"/>
        <item x="76"/>
        <item x="52"/>
        <item x="108"/>
        <item x="74"/>
        <item x="102"/>
        <item x="118"/>
        <item x="15"/>
        <item x="22"/>
        <item x="107"/>
        <item x="4"/>
        <item x="91"/>
        <item x="6"/>
        <item x="2"/>
        <item x="77"/>
        <item x="7"/>
        <item x="45"/>
        <item x="0"/>
        <item x="59"/>
        <item x="68"/>
        <item x="31"/>
        <item x="53"/>
        <item x="51"/>
        <item x="61"/>
        <item x="98"/>
        <item x="18"/>
        <item x="23"/>
        <item x="55"/>
        <item x="105"/>
        <item x="49"/>
        <item x="90"/>
        <item x="33"/>
        <item x="89"/>
        <item x="28"/>
        <item x="71"/>
        <item x="104"/>
        <item x="117"/>
        <item x="16"/>
        <item x="60"/>
        <item x="8"/>
        <item x="66"/>
        <item x="111"/>
        <item x="81"/>
        <item x="87"/>
        <item x="37"/>
        <item x="11"/>
        <item x="43"/>
        <item x="97"/>
        <item x="21"/>
        <item x="99"/>
        <item x="40"/>
        <item x="85"/>
        <item x="113"/>
        <item x="83"/>
        <item x="62"/>
        <item x="5"/>
        <item x="35"/>
        <item x="25"/>
        <item x="19"/>
        <item x="26"/>
        <item x="67"/>
        <item x="36"/>
        <item x="72"/>
        <item x="44"/>
        <item x="1"/>
        <item x="3"/>
        <item x="42"/>
        <item x="50"/>
        <item x="86"/>
        <item x="100"/>
        <item x="103"/>
        <item x="38"/>
        <item x="20"/>
        <item x="82"/>
        <item x="106"/>
        <item x="39"/>
        <item x="96"/>
        <item x="94"/>
        <item x="80"/>
        <item x="46"/>
        <item x="56"/>
        <item x="30"/>
        <item x="78"/>
        <item x="9"/>
        <item x="64"/>
        <item x="48"/>
        <item x="41"/>
        <item x="69"/>
        <item x="70"/>
        <item x="13"/>
        <item x="73"/>
        <item x="88"/>
        <item x="14"/>
        <item x="120"/>
        <item x="122"/>
        <item x="121"/>
        <item x="119"/>
        <item t="default"/>
      </items>
    </pivotField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Total Sales" fld="6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12" cacheId="1" applyNumberFormats="0" applyBorderFormats="0" applyFontFormats="0" applyPatternFormats="0" applyAlignmentFormats="0" applyWidthHeightFormats="1" dataCaption="Values" updatedVersion="8" minRefreshableVersion="3" createdVersion="8" indent="0" outline="1" outlineData="1" multipleFieldFilters="0" chartFormat="2" rowHeaderCaption="Products" colHeaderCaption="Products">
  <location ref="Q13:R19" firstHeaderRow="1" firstDataRow="1" firstDataCol="1"/>
  <pivotFields count="9">
    <pivotField numFmtId="166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>
      <items count="5">
        <item x="0"/>
        <item h="1" x="1"/>
        <item h="1" x="2"/>
        <item h="1" x="3"/>
        <item t="default"/>
      </items>
    </pivotField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numFmtId="167" showAll="0"/>
    <pivotField dataField="1" numFmtId="167" showAll="0">
      <items count="120">
        <item x="112"/>
        <item x="95"/>
        <item x="79"/>
        <item x="114"/>
        <item x="24"/>
        <item x="32"/>
        <item x="10"/>
        <item x="58"/>
        <item x="57"/>
        <item x="47"/>
        <item x="115"/>
        <item x="101"/>
        <item x="116"/>
        <item x="110"/>
        <item x="63"/>
        <item x="84"/>
        <item x="75"/>
        <item x="54"/>
        <item x="92"/>
        <item x="29"/>
        <item x="27"/>
        <item x="17"/>
        <item x="65"/>
        <item x="34"/>
        <item x="12"/>
        <item x="93"/>
        <item x="109"/>
        <item x="76"/>
        <item x="52"/>
        <item x="108"/>
        <item x="74"/>
        <item x="102"/>
        <item x="118"/>
        <item x="15"/>
        <item x="22"/>
        <item x="107"/>
        <item x="4"/>
        <item x="91"/>
        <item x="6"/>
        <item x="2"/>
        <item x="77"/>
        <item x="7"/>
        <item x="45"/>
        <item x="0"/>
        <item x="59"/>
        <item x="68"/>
        <item x="31"/>
        <item x="53"/>
        <item x="51"/>
        <item x="61"/>
        <item x="98"/>
        <item x="18"/>
        <item x="23"/>
        <item x="55"/>
        <item x="105"/>
        <item x="49"/>
        <item x="90"/>
        <item x="33"/>
        <item x="89"/>
        <item x="28"/>
        <item x="71"/>
        <item x="104"/>
        <item x="117"/>
        <item x="16"/>
        <item x="60"/>
        <item x="8"/>
        <item x="66"/>
        <item x="111"/>
        <item x="81"/>
        <item x="87"/>
        <item x="37"/>
        <item x="11"/>
        <item x="43"/>
        <item x="97"/>
        <item x="21"/>
        <item x="99"/>
        <item x="40"/>
        <item x="85"/>
        <item x="113"/>
        <item x="83"/>
        <item x="62"/>
        <item x="5"/>
        <item x="35"/>
        <item x="25"/>
        <item x="19"/>
        <item x="26"/>
        <item x="67"/>
        <item x="36"/>
        <item x="72"/>
        <item x="44"/>
        <item x="1"/>
        <item x="3"/>
        <item x="42"/>
        <item x="50"/>
        <item x="86"/>
        <item x="100"/>
        <item x="103"/>
        <item x="38"/>
        <item x="20"/>
        <item x="82"/>
        <item x="106"/>
        <item x="39"/>
        <item x="96"/>
        <item x="94"/>
        <item x="80"/>
        <item x="46"/>
        <item x="56"/>
        <item x="30"/>
        <item x="78"/>
        <item x="9"/>
        <item x="64"/>
        <item x="48"/>
        <item x="41"/>
        <item x="69"/>
        <item x="70"/>
        <item x="13"/>
        <item x="73"/>
        <item x="88"/>
        <item x="14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 numFmtId="167"/>
  </dataFields>
  <formats count="6">
    <format dxfId="29">
      <pivotArea field="3" type="button" dataOnly="0" labelOnly="1" outline="0" fieldPosition="0"/>
    </format>
    <format dxfId="28">
      <pivotArea field="3" type="button" dataOnly="0" labelOnly="1" outline="0" fieldPosition="0"/>
    </format>
    <format dxfId="27">
      <pivotArea dataOnly="0" labelOnly="1" outline="0" fieldPosition="0"/>
    </format>
    <format dxfId="26">
      <pivotArea dataOnly="0" labelOnly="1" outline="0" fieldPosition="0"/>
    </format>
    <format dxfId="25">
      <pivotArea dataOnly="0" labelOnly="1" grandRow="1" outline="0" fieldPosition="0"/>
    </format>
    <format dxfId="24">
      <pivotArea dataOnly="0" labelOnly="1" grandRow="1" outline="0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0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" rowHeaderCaption="Date(by Month)" colHeaderCaption="Products">
  <location ref="P29:Q41" firstHeaderRow="1" firstDataRow="1" firstDataCol="1"/>
  <pivotFields count="9">
    <pivotField numFmtId="166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>
      <items count="5">
        <item x="0"/>
        <item h="1" x="1"/>
        <item h="1" x="2"/>
        <item h="1" x="3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/>
    <pivotField numFmtId="167" showAll="0"/>
    <pivotField dataField="1" numFmtId="167" showAll="0">
      <items count="120">
        <item x="112"/>
        <item x="95"/>
        <item x="79"/>
        <item x="114"/>
        <item x="24"/>
        <item x="32"/>
        <item x="10"/>
        <item x="58"/>
        <item x="57"/>
        <item x="47"/>
        <item x="115"/>
        <item x="101"/>
        <item x="116"/>
        <item x="110"/>
        <item x="63"/>
        <item x="84"/>
        <item x="75"/>
        <item x="54"/>
        <item x="92"/>
        <item x="29"/>
        <item x="27"/>
        <item x="17"/>
        <item x="65"/>
        <item x="34"/>
        <item x="12"/>
        <item x="93"/>
        <item x="109"/>
        <item x="76"/>
        <item x="52"/>
        <item x="108"/>
        <item x="74"/>
        <item x="102"/>
        <item x="118"/>
        <item x="15"/>
        <item x="22"/>
        <item x="107"/>
        <item x="4"/>
        <item x="91"/>
        <item x="6"/>
        <item x="2"/>
        <item x="77"/>
        <item x="7"/>
        <item x="45"/>
        <item x="0"/>
        <item x="59"/>
        <item x="68"/>
        <item x="31"/>
        <item x="53"/>
        <item x="51"/>
        <item x="61"/>
        <item x="98"/>
        <item x="18"/>
        <item x="23"/>
        <item x="55"/>
        <item x="105"/>
        <item x="49"/>
        <item x="90"/>
        <item x="33"/>
        <item x="89"/>
        <item x="28"/>
        <item x="71"/>
        <item x="104"/>
        <item x="117"/>
        <item x="16"/>
        <item x="60"/>
        <item x="8"/>
        <item x="66"/>
        <item x="111"/>
        <item x="81"/>
        <item x="87"/>
        <item x="37"/>
        <item x="11"/>
        <item x="43"/>
        <item x="97"/>
        <item x="21"/>
        <item x="99"/>
        <item x="40"/>
        <item x="85"/>
        <item x="113"/>
        <item x="83"/>
        <item x="62"/>
        <item x="5"/>
        <item x="35"/>
        <item x="25"/>
        <item x="19"/>
        <item x="26"/>
        <item x="67"/>
        <item x="36"/>
        <item x="72"/>
        <item x="44"/>
        <item x="1"/>
        <item x="3"/>
        <item x="42"/>
        <item x="50"/>
        <item x="86"/>
        <item x="100"/>
        <item x="103"/>
        <item x="38"/>
        <item x="20"/>
        <item x="82"/>
        <item x="106"/>
        <item x="39"/>
        <item x="96"/>
        <item x="94"/>
        <item x="80"/>
        <item x="46"/>
        <item x="56"/>
        <item x="30"/>
        <item x="78"/>
        <item x="9"/>
        <item x="64"/>
        <item x="48"/>
        <item x="41"/>
        <item x="69"/>
        <item x="70"/>
        <item x="13"/>
        <item x="73"/>
        <item x="88"/>
        <item x="14"/>
        <item t="default"/>
      </items>
    </pivotField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6" baseField="0" baseItem="0" numFmtId="167"/>
  </dataFields>
  <formats count="6">
    <format dxfId="35">
      <pivotArea field="8" type="button" dataOnly="0" labelOnly="1" outline="0" fieldPosition="0"/>
    </format>
    <format dxfId="34">
      <pivotArea field="8" type="button" dataOnly="0" labelOnly="1" outline="0" fieldPosition="0"/>
    </format>
    <format dxfId="33">
      <pivotArea dataOnly="0" labelOnly="1" outline="0" fieldPosition="0"/>
    </format>
    <format dxfId="32">
      <pivotArea dataOnly="0" labelOnly="1" outline="0" fieldPosition="0"/>
    </format>
    <format dxfId="31">
      <pivotArea dataOnly="0" labelOnly="1" grandRow="1" outline="0" fieldPosition="0"/>
    </format>
    <format dxfId="3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7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rowHeaderCaption="Top 3 Sales Person by Total Sales">
  <location ref="M12:N16" firstHeaderRow="1" firstDataRow="1" firstDataCol="1"/>
  <pivotFields count="9">
    <pivotField numFmtId="166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/>
    <pivotField axis="axisRow" showAll="0" measureFilter="1">
      <items count="9">
        <item x="2"/>
        <item x="3"/>
        <item x="5"/>
        <item x="6"/>
        <item x="7"/>
        <item x="0"/>
        <item x="1"/>
        <item x="4"/>
        <item t="default"/>
      </items>
    </pivotField>
    <pivotField showAll="0"/>
    <pivotField showAll="0"/>
    <pivotField numFmtId="167" showAll="0"/>
    <pivotField dataField="1" numFmtId="167" showAll="0">
      <items count="120">
        <item x="112"/>
        <item x="95"/>
        <item x="79"/>
        <item x="114"/>
        <item x="24"/>
        <item x="32"/>
        <item x="10"/>
        <item x="58"/>
        <item x="57"/>
        <item x="47"/>
        <item x="115"/>
        <item x="101"/>
        <item x="116"/>
        <item x="110"/>
        <item x="63"/>
        <item x="84"/>
        <item x="75"/>
        <item x="54"/>
        <item x="92"/>
        <item x="29"/>
        <item x="27"/>
        <item x="17"/>
        <item x="65"/>
        <item x="34"/>
        <item x="12"/>
        <item x="93"/>
        <item x="109"/>
        <item x="76"/>
        <item x="52"/>
        <item x="108"/>
        <item x="74"/>
        <item x="102"/>
        <item x="118"/>
        <item x="15"/>
        <item x="22"/>
        <item x="107"/>
        <item x="4"/>
        <item x="91"/>
        <item x="6"/>
        <item x="2"/>
        <item x="77"/>
        <item x="7"/>
        <item x="45"/>
        <item x="0"/>
        <item x="59"/>
        <item x="68"/>
        <item x="31"/>
        <item x="53"/>
        <item x="51"/>
        <item x="61"/>
        <item x="98"/>
        <item x="18"/>
        <item x="23"/>
        <item x="55"/>
        <item x="105"/>
        <item x="49"/>
        <item x="90"/>
        <item x="33"/>
        <item x="89"/>
        <item x="28"/>
        <item x="71"/>
        <item x="104"/>
        <item x="117"/>
        <item x="16"/>
        <item x="60"/>
        <item x="8"/>
        <item x="66"/>
        <item x="111"/>
        <item x="81"/>
        <item x="87"/>
        <item x="37"/>
        <item x="11"/>
        <item x="43"/>
        <item x="97"/>
        <item x="21"/>
        <item x="99"/>
        <item x="40"/>
        <item x="85"/>
        <item x="113"/>
        <item x="83"/>
        <item x="62"/>
        <item x="5"/>
        <item x="35"/>
        <item x="25"/>
        <item x="19"/>
        <item x="26"/>
        <item x="67"/>
        <item x="36"/>
        <item x="72"/>
        <item x="44"/>
        <item x="1"/>
        <item x="3"/>
        <item x="42"/>
        <item x="50"/>
        <item x="86"/>
        <item x="100"/>
        <item x="103"/>
        <item x="38"/>
        <item x="20"/>
        <item x="82"/>
        <item x="106"/>
        <item x="39"/>
        <item x="96"/>
        <item x="94"/>
        <item x="80"/>
        <item x="46"/>
        <item x="56"/>
        <item x="30"/>
        <item x="78"/>
        <item x="9"/>
        <item x="64"/>
        <item x="48"/>
        <item x="41"/>
        <item x="69"/>
        <item x="70"/>
        <item x="13"/>
        <item x="73"/>
        <item x="88"/>
        <item x="1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 v="2"/>
    </i>
    <i>
      <x v="6"/>
    </i>
    <i>
      <x v="7"/>
    </i>
    <i t="grand">
      <x/>
    </i>
  </rowItems>
  <colItems count="1">
    <i/>
  </colItems>
  <dataFields count="1">
    <dataField name="Sum of Total Sales" fld="6" baseField="0" baseItem="0" numFmtId="167"/>
  </dataFields>
  <formats count="6">
    <format dxfId="41">
      <pivotArea field="2" type="button" dataOnly="0" labelOnly="1" outline="0" fieldPosition="0"/>
    </format>
    <format dxfId="40">
      <pivotArea field="2" type="button" dataOnly="0" labelOnly="1" outline="0" fieldPosition="0"/>
    </format>
    <format dxfId="39">
      <pivotArea dataOnly="0" labelOnly="1" outline="0" fieldPosition="0"/>
    </format>
    <format dxfId="38">
      <pivotArea dataOnly="0" labelOnly="1" outline="0" fieldPosition="0"/>
    </format>
    <format dxfId="37">
      <pivotArea dataOnly="0" grandRow="1" fieldPosition="0"/>
    </format>
    <format dxfId="36">
      <pivotArea dataOnly="0" grandRow="1" fieldPosition="0"/>
    </format>
  </formats>
  <pivotTableStyleInfo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00000000-0013-0000-FFFF-FFFF01000000}" sourceName="Month">
  <data>
    <tabular pivotCacheId="2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1" xr10:uid="{00000000-0013-0000-FFFF-FFFF02000000}" sourceName="Product">
  <data>
    <tabular pivotCacheId="2">
      <items count="6">
        <i x="2"/>
        <i x="0"/>
        <i x="3" s="1"/>
        <i x="1"/>
        <i x="4"/>
        <i x="5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person" xr10:uid="{00000000-0013-0000-FFFF-FFFF03000000}" sourceName="Salesperson">
  <data>
    <tabular pivotCacheId="2">
      <items count="8">
        <i x="1" s="1"/>
        <i x="0" s="1"/>
        <i x="3" s="1"/>
        <i x="5" s="1"/>
        <i x="6" s="1"/>
        <i x="7" s="1"/>
        <i x="2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ate" xr10:uid="{00000000-0013-0000-FFFF-FFFF04000000}" sourceName="Date">
  <pivotTables>
    <pivotTable tabId="5" name="PivotTable10"/>
    <pivotTable tabId="5" name="PivotTable12"/>
    <pivotTable tabId="5" name="PivotTable9"/>
  </pivotTables>
  <data>
    <tabular pivotCacheId="1">
      <items count="104">
        <i x="0" s="1"/>
        <i x="10" s="1"/>
        <i x="13" s="1"/>
        <i x="14" s="1"/>
        <i x="22" s="1"/>
        <i x="25" s="1"/>
        <i x="28" s="1"/>
        <i x="29" s="1"/>
        <i x="31" s="1"/>
        <i x="35" s="1"/>
        <i x="36" s="1"/>
        <i x="37" s="1"/>
        <i x="38" s="1"/>
        <i x="41" s="1"/>
        <i x="48" s="1"/>
        <i x="50" s="1"/>
        <i x="51" s="1"/>
        <i x="52" s="1"/>
        <i x="53" s="1"/>
        <i x="55" s="1"/>
        <i x="57" s="1"/>
        <i x="59" s="1"/>
        <i x="62" s="1"/>
        <i x="66" s="1"/>
        <i x="72" s="1"/>
        <i x="76" s="1"/>
        <i x="78" s="1"/>
        <i x="79" s="1"/>
        <i x="83" s="1"/>
        <i x="84" s="1"/>
        <i x="86" s="1"/>
        <i x="87" s="1"/>
        <i x="92" s="1"/>
        <i x="93" s="1"/>
        <i x="94" s="1"/>
        <i x="95" s="1"/>
        <i x="98" s="1"/>
        <i x="99" s="1"/>
        <i x="103" s="1"/>
        <i x="1" s="1" nd="1"/>
        <i x="2" s="1" nd="1"/>
        <i x="3" s="1" nd="1"/>
        <i x="4" s="1" nd="1"/>
        <i x="5" s="1" nd="1"/>
        <i x="6" s="1" nd="1"/>
        <i x="7" s="1" nd="1"/>
        <i x="8" s="1" nd="1"/>
        <i x="9" s="1" nd="1"/>
        <i x="11" s="1" nd="1"/>
        <i x="12" s="1" nd="1"/>
        <i x="15" s="1" nd="1"/>
        <i x="16" s="1" nd="1"/>
        <i x="17" s="1" nd="1"/>
        <i x="18" s="1" nd="1"/>
        <i x="19" s="1" nd="1"/>
        <i x="20" s="1" nd="1"/>
        <i x="21" s="1" nd="1"/>
        <i x="23" s="1" nd="1"/>
        <i x="24" s="1" nd="1"/>
        <i x="26" s="1" nd="1"/>
        <i x="27" s="1" nd="1"/>
        <i x="30" s="1" nd="1"/>
        <i x="32" s="1" nd="1"/>
        <i x="33" s="1" nd="1"/>
        <i x="34" s="1" nd="1"/>
        <i x="39" s="1" nd="1"/>
        <i x="40" s="1" nd="1"/>
        <i x="42" s="1" nd="1"/>
        <i x="43" s="1" nd="1"/>
        <i x="44" s="1" nd="1"/>
        <i x="45" s="1" nd="1"/>
        <i x="46" s="1" nd="1"/>
        <i x="47" s="1" nd="1"/>
        <i x="49" s="1" nd="1"/>
        <i x="54" s="1" nd="1"/>
        <i x="56" s="1" nd="1"/>
        <i x="58" s="1" nd="1"/>
        <i x="60" s="1" nd="1"/>
        <i x="61" s="1" nd="1"/>
        <i x="63" s="1" nd="1"/>
        <i x="64" s="1" nd="1"/>
        <i x="65" s="1" nd="1"/>
        <i x="67" s="1" nd="1"/>
        <i x="68" s="1" nd="1"/>
        <i x="69" s="1" nd="1"/>
        <i x="70" s="1" nd="1"/>
        <i x="71" s="1" nd="1"/>
        <i x="73" s="1" nd="1"/>
        <i x="74" s="1" nd="1"/>
        <i x="75" s="1" nd="1"/>
        <i x="77" s="1" nd="1"/>
        <i x="80" s="1" nd="1"/>
        <i x="81" s="1" nd="1"/>
        <i x="82" s="1" nd="1"/>
        <i x="85" s="1" nd="1"/>
        <i x="88" s="1" nd="1"/>
        <i x="89" s="1" nd="1"/>
        <i x="90" s="1" nd="1"/>
        <i x="91" s="1" nd="1"/>
        <i x="96" s="1" nd="1"/>
        <i x="97" s="1" nd="1"/>
        <i x="100" s="1" nd="1"/>
        <i x="101" s="1" nd="1"/>
        <i x="102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00000000-0013-0000-FFFF-FFFF05000000}" sourceName="Product">
  <pivotTables>
    <pivotTable tabId="5" name="PivotTable12"/>
    <pivotTable tabId="5" name="PivotTable10"/>
    <pivotTable tabId="5" name="PivotTable9"/>
  </pivotTables>
  <data>
    <tabular pivotCacheId="1">
      <items count="5">
        <i x="3" s="1"/>
        <i x="4" s="1"/>
        <i x="1" s="1"/>
        <i x="2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otal_Sales" xr10:uid="{00000000-0013-0000-FFFF-FFFF06000000}" sourceName="Total Sales">
  <pivotTables>
    <pivotTable tabId="5" name="PivotTable9"/>
    <pivotTable tabId="5" name="PivotTable10"/>
    <pivotTable tabId="5" name="PivotTable12"/>
  </pivotTables>
  <data>
    <tabular pivotCacheId="1">
      <items count="119">
        <i x="112" s="1"/>
        <i x="32" s="1"/>
        <i x="58" s="1"/>
        <i x="84" s="1"/>
        <i x="34" s="1"/>
        <i x="12" s="1"/>
        <i x="93" s="1"/>
        <i x="108" s="1"/>
        <i x="118" s="1"/>
        <i x="15" s="1"/>
        <i x="107" s="1"/>
        <i x="45" s="1"/>
        <i x="0" s="1"/>
        <i x="59" s="1"/>
        <i x="31" s="1"/>
        <i x="53" s="1"/>
        <i x="61" s="1"/>
        <i x="98" s="1"/>
        <i x="55" s="1"/>
        <i x="28" s="1"/>
        <i x="104" s="1"/>
        <i x="16" s="1"/>
        <i x="66" s="1"/>
        <i x="87" s="1"/>
        <i x="11" s="1"/>
        <i x="40" s="1"/>
        <i x="113" s="1"/>
        <i x="25" s="1"/>
        <i x="86" s="1"/>
        <i x="38" s="1"/>
        <i x="106" s="1"/>
        <i x="39" s="1"/>
        <i x="96" s="1"/>
        <i x="94" s="1"/>
        <i x="80" s="1"/>
        <i x="56" s="1"/>
        <i x="64" s="1"/>
        <i x="41" s="1"/>
        <i x="69" s="1"/>
        <i x="73" s="1"/>
        <i x="95" s="1" nd="1"/>
        <i x="79" s="1" nd="1"/>
        <i x="114" s="1" nd="1"/>
        <i x="24" s="1" nd="1"/>
        <i x="10" s="1" nd="1"/>
        <i x="57" s="1" nd="1"/>
        <i x="47" s="1" nd="1"/>
        <i x="115" s="1" nd="1"/>
        <i x="101" s="1" nd="1"/>
        <i x="116" s="1" nd="1"/>
        <i x="110" s="1" nd="1"/>
        <i x="63" s="1" nd="1"/>
        <i x="75" s="1" nd="1"/>
        <i x="54" s="1" nd="1"/>
        <i x="92" s="1" nd="1"/>
        <i x="29" s="1" nd="1"/>
        <i x="27" s="1" nd="1"/>
        <i x="17" s="1" nd="1"/>
        <i x="65" s="1" nd="1"/>
        <i x="109" s="1" nd="1"/>
        <i x="76" s="1" nd="1"/>
        <i x="52" s="1" nd="1"/>
        <i x="74" s="1" nd="1"/>
        <i x="102" s="1" nd="1"/>
        <i x="22" s="1" nd="1"/>
        <i x="4" s="1" nd="1"/>
        <i x="91" s="1" nd="1"/>
        <i x="6" s="1" nd="1"/>
        <i x="2" s="1" nd="1"/>
        <i x="77" s="1" nd="1"/>
        <i x="7" s="1" nd="1"/>
        <i x="68" s="1" nd="1"/>
        <i x="51" s="1" nd="1"/>
        <i x="18" s="1" nd="1"/>
        <i x="23" s="1" nd="1"/>
        <i x="105" s="1" nd="1"/>
        <i x="49" s="1" nd="1"/>
        <i x="90" s="1" nd="1"/>
        <i x="33" s="1" nd="1"/>
        <i x="89" s="1" nd="1"/>
        <i x="71" s="1" nd="1"/>
        <i x="117" s="1" nd="1"/>
        <i x="60" s="1" nd="1"/>
        <i x="8" s="1" nd="1"/>
        <i x="111" s="1" nd="1"/>
        <i x="81" s="1" nd="1"/>
        <i x="37" s="1" nd="1"/>
        <i x="43" s="1" nd="1"/>
        <i x="97" s="1" nd="1"/>
        <i x="21" s="1" nd="1"/>
        <i x="99" s="1" nd="1"/>
        <i x="85" s="1" nd="1"/>
        <i x="83" s="1" nd="1"/>
        <i x="62" s="1" nd="1"/>
        <i x="5" s="1" nd="1"/>
        <i x="35" s="1" nd="1"/>
        <i x="19" s="1" nd="1"/>
        <i x="26" s="1" nd="1"/>
        <i x="67" s="1" nd="1"/>
        <i x="36" s="1" nd="1"/>
        <i x="72" s="1" nd="1"/>
        <i x="44" s="1" nd="1"/>
        <i x="1" s="1" nd="1"/>
        <i x="3" s="1" nd="1"/>
        <i x="42" s="1" nd="1"/>
        <i x="50" s="1" nd="1"/>
        <i x="100" s="1" nd="1"/>
        <i x="103" s="1" nd="1"/>
        <i x="20" s="1" nd="1"/>
        <i x="82" s="1" nd="1"/>
        <i x="46" s="1" nd="1"/>
        <i x="30" s="1" nd="1"/>
        <i x="78" s="1" nd="1"/>
        <i x="9" s="1" nd="1"/>
        <i x="48" s="1" nd="1"/>
        <i x="70" s="1" nd="1"/>
        <i x="13" s="1" nd="1"/>
        <i x="88" s="1" nd="1"/>
        <i x="14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7000000}" sourceName="Region">
  <pivotTables>
    <pivotTable tabId="5" name="PivotTable9"/>
    <pivotTable tabId="5" name="PivotTable10"/>
    <pivotTable tabId="5" name="PivotTable12"/>
  </pivotTables>
  <data>
    <tabular pivotCacheId="1">
      <items count="4">
        <i x="0" s="1"/>
        <i x="1"/>
        <i x="2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" xr10:uid="{00000000-0014-0000-FFFF-FFFF07000000}" cache="Slicer_Date" caption="Date" rowHeight="247650"/>
  <slicer name="Product" xr10:uid="{00000000-0014-0000-FFFF-FFFF06000000}" cache="Slicer_Product" caption="Product" rowHeight="247650"/>
  <slicer name="Total Sales" xr10:uid="{00000000-0014-0000-FFFF-FFFF05000000}" cache="Slicer_Total_Sales" caption="Total Sales" rowHeight="247650"/>
  <slicer name="Region" xr10:uid="{00000000-0014-0000-FFFF-FFFF04000000}" cache="Slicer_Region" caption="Region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1" xr10:uid="{00000000-0014-0000-FFFF-FFFF03000000}" cache="Slicer_Month" caption="Month" startItem="1" rowHeight="241300"/>
  <slicer name="Product 1" xr10:uid="{00000000-0014-0000-FFFF-FFFF02000000}" cache="Slicer_Product1" caption="Product" startItem="2" rowHeight="241300"/>
  <slicer name="Salesperson 1" xr10:uid="{00000000-0014-0000-FFFF-FFFF01000000}" cache="Slicer_Salesperson" caption="Salesperson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5"/>
  <sheetViews>
    <sheetView zoomScale="66" zoomScaleNormal="66" workbookViewId="0">
      <selection activeCell="K5" sqref="K5"/>
    </sheetView>
  </sheetViews>
  <sheetFormatPr defaultColWidth="8.6328125" defaultRowHeight="14"/>
  <cols>
    <col min="1" max="1" width="12" customWidth="1"/>
    <col min="2" max="2" width="10" customWidth="1"/>
    <col min="3" max="3" width="16" customWidth="1"/>
    <col min="4" max="4" width="12" customWidth="1"/>
    <col min="5" max="5" width="10" customWidth="1"/>
    <col min="6" max="6" width="12" customWidth="1"/>
    <col min="7" max="7" width="25.90625" customWidth="1"/>
    <col min="10" max="10" width="22.36328125" customWidth="1"/>
    <col min="11" max="11" width="10.90625" customWidth="1"/>
    <col min="12" max="12" width="15.7265625" customWidth="1"/>
    <col min="13" max="13" width="32" customWidth="1"/>
    <col min="14" max="14" width="15.54296875" customWidth="1"/>
    <col min="15" max="15" width="16.453125" customWidth="1"/>
    <col min="16" max="16" width="17.453125" customWidth="1"/>
    <col min="17" max="17" width="15.7265625" customWidth="1"/>
    <col min="18" max="18" width="15" customWidth="1"/>
    <col min="19" max="19" width="14.54296875" customWidth="1"/>
    <col min="20" max="23" width="10.08984375" customWidth="1"/>
    <col min="24" max="24" width="11.08984375" customWidth="1"/>
    <col min="25" max="25" width="10.08984375" customWidth="1"/>
    <col min="26" max="26" width="11.08984375" customWidth="1"/>
    <col min="27" max="27" width="11.7265625" customWidth="1"/>
    <col min="28" max="28" width="9.08984375" customWidth="1"/>
    <col min="29" max="29" width="11.08984375" customWidth="1"/>
  </cols>
  <sheetData>
    <row r="1" spans="1:19">
      <c r="A1" s="10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1" t="s">
        <v>7</v>
      </c>
      <c r="H1" s="12" t="s">
        <v>8</v>
      </c>
      <c r="I1" s="12" t="s">
        <v>9</v>
      </c>
      <c r="J1" s="16"/>
      <c r="M1" s="17"/>
    </row>
    <row r="2" spans="1:19">
      <c r="A2" s="13">
        <v>45293</v>
      </c>
      <c r="B2" s="14" t="s">
        <v>10</v>
      </c>
      <c r="C2" s="14" t="s">
        <v>11</v>
      </c>
      <c r="D2" s="14" t="s">
        <v>12</v>
      </c>
      <c r="E2" s="14">
        <v>7</v>
      </c>
      <c r="F2" s="15">
        <v>161.12</v>
      </c>
      <c r="G2" s="15">
        <f>E2*F2</f>
        <v>1127.8399999999999</v>
      </c>
      <c r="H2">
        <f>MONTH(A2)</f>
        <v>1</v>
      </c>
      <c r="I2">
        <f>YEAR(A2)</f>
        <v>2024</v>
      </c>
      <c r="J2" s="18"/>
    </row>
    <row r="3" spans="1:19">
      <c r="A3" s="13">
        <v>45299</v>
      </c>
      <c r="B3" s="14" t="s">
        <v>13</v>
      </c>
      <c r="C3" s="14" t="s">
        <v>14</v>
      </c>
      <c r="D3" s="14" t="s">
        <v>15</v>
      </c>
      <c r="E3" s="14">
        <v>27</v>
      </c>
      <c r="F3" s="15">
        <v>249.28</v>
      </c>
      <c r="G3" s="15">
        <f t="shared" ref="G3:G65" si="0">E3*F3</f>
        <v>6730.56</v>
      </c>
      <c r="H3">
        <f>MONTH(A3)</f>
        <v>1</v>
      </c>
      <c r="I3">
        <f t="shared" ref="I3:I66" si="1">YEAR(A3)</f>
        <v>2024</v>
      </c>
      <c r="M3" s="19" t="s">
        <v>16</v>
      </c>
      <c r="N3" s="19" t="s">
        <v>17</v>
      </c>
      <c r="O3" s="20"/>
      <c r="P3" s="20"/>
      <c r="Q3" s="20"/>
      <c r="R3" s="20"/>
      <c r="S3" s="43"/>
    </row>
    <row r="4" spans="1:19">
      <c r="A4" s="13">
        <v>45304</v>
      </c>
      <c r="B4" s="14" t="s">
        <v>18</v>
      </c>
      <c r="C4" s="14" t="s">
        <v>19</v>
      </c>
      <c r="D4" s="14" t="s">
        <v>20</v>
      </c>
      <c r="E4" s="14">
        <v>43</v>
      </c>
      <c r="F4" s="15">
        <v>21.46</v>
      </c>
      <c r="G4" s="15">
        <f t="shared" si="0"/>
        <v>922.78</v>
      </c>
      <c r="H4">
        <f t="shared" ref="H4:H66" si="2">MONTH(A4)</f>
        <v>1</v>
      </c>
      <c r="I4">
        <f t="shared" si="1"/>
        <v>2024</v>
      </c>
      <c r="M4" s="19" t="s">
        <v>21</v>
      </c>
      <c r="N4" s="19" t="s">
        <v>22</v>
      </c>
      <c r="O4" s="21" t="s">
        <v>23</v>
      </c>
      <c r="P4" s="21" t="s">
        <v>15</v>
      </c>
      <c r="Q4" s="21" t="s">
        <v>20</v>
      </c>
      <c r="R4" s="21" t="s">
        <v>12</v>
      </c>
      <c r="S4" s="34" t="s">
        <v>0</v>
      </c>
    </row>
    <row r="5" spans="1:19">
      <c r="A5" s="13">
        <v>45305</v>
      </c>
      <c r="B5" s="14" t="s">
        <v>13</v>
      </c>
      <c r="C5" s="14" t="s">
        <v>24</v>
      </c>
      <c r="D5" s="14" t="s">
        <v>15</v>
      </c>
      <c r="E5" s="14">
        <v>30</v>
      </c>
      <c r="F5" s="15">
        <v>234.09</v>
      </c>
      <c r="G5" s="15">
        <f t="shared" si="0"/>
        <v>7022.7</v>
      </c>
      <c r="H5">
        <f t="shared" si="2"/>
        <v>1</v>
      </c>
      <c r="I5">
        <f t="shared" si="1"/>
        <v>2024</v>
      </c>
      <c r="J5" s="22" t="s">
        <v>25</v>
      </c>
      <c r="K5" s="22" t="s">
        <v>7</v>
      </c>
      <c r="M5" s="23" t="s">
        <v>10</v>
      </c>
      <c r="N5" s="24">
        <v>9785.82</v>
      </c>
      <c r="O5" s="25">
        <v>131504.66</v>
      </c>
      <c r="P5" s="25">
        <v>63664.82</v>
      </c>
      <c r="Q5" s="25">
        <v>-152548.59</v>
      </c>
      <c r="R5" s="25">
        <v>29660.59</v>
      </c>
      <c r="S5" s="35">
        <v>82067.300000000207</v>
      </c>
    </row>
    <row r="6" spans="1:19">
      <c r="A6" s="13">
        <v>45306</v>
      </c>
      <c r="B6" s="14" t="s">
        <v>26</v>
      </c>
      <c r="C6" s="14" t="s">
        <v>19</v>
      </c>
      <c r="D6" s="14" t="s">
        <v>20</v>
      </c>
      <c r="E6" s="14">
        <v>47</v>
      </c>
      <c r="F6" s="15">
        <v>18.66</v>
      </c>
      <c r="G6" s="15">
        <f t="shared" si="0"/>
        <v>877.02</v>
      </c>
      <c r="H6">
        <f t="shared" si="2"/>
        <v>1</v>
      </c>
      <c r="I6">
        <f t="shared" si="1"/>
        <v>2024</v>
      </c>
      <c r="J6" s="26">
        <v>0.05</v>
      </c>
      <c r="K6" s="27">
        <f>G123</f>
        <v>500000</v>
      </c>
      <c r="M6" s="28" t="s">
        <v>13</v>
      </c>
      <c r="N6" s="29">
        <v>2049.58</v>
      </c>
      <c r="O6" s="30">
        <v>143172.6</v>
      </c>
      <c r="P6" s="30">
        <v>31689.55</v>
      </c>
      <c r="Q6" s="30">
        <v>2255.5500000000002</v>
      </c>
      <c r="R6" s="30">
        <v>26041.97</v>
      </c>
      <c r="S6" s="36">
        <v>205209.25</v>
      </c>
    </row>
    <row r="7" spans="1:19">
      <c r="A7" s="13">
        <v>45314</v>
      </c>
      <c r="B7" s="14" t="s">
        <v>26</v>
      </c>
      <c r="C7" s="14" t="s">
        <v>27</v>
      </c>
      <c r="D7" s="14" t="s">
        <v>12</v>
      </c>
      <c r="E7" s="14">
        <v>35</v>
      </c>
      <c r="F7" s="15">
        <v>155.61000000000001</v>
      </c>
      <c r="G7" s="15">
        <f t="shared" si="0"/>
        <v>5446.35</v>
      </c>
      <c r="H7">
        <f t="shared" si="2"/>
        <v>1</v>
      </c>
      <c r="I7">
        <f t="shared" si="1"/>
        <v>2024</v>
      </c>
      <c r="J7" s="26">
        <v>0.1</v>
      </c>
      <c r="K7">
        <f t="dataTable" ref="K7:K8" dt2D="0" dtr="0" r1="F3"/>
        <v>493272.14</v>
      </c>
      <c r="M7" s="28" t="s">
        <v>18</v>
      </c>
      <c r="N7" s="29">
        <v>8842.73</v>
      </c>
      <c r="O7" s="30">
        <v>40166.14</v>
      </c>
      <c r="P7" s="30">
        <v>30620.34</v>
      </c>
      <c r="Q7" s="30">
        <v>3723.29</v>
      </c>
      <c r="R7" s="30">
        <v>9623.17</v>
      </c>
      <c r="S7" s="36">
        <v>92975.67</v>
      </c>
    </row>
    <row r="8" spans="1:19">
      <c r="A8" s="13">
        <v>45319</v>
      </c>
      <c r="B8" s="14" t="s">
        <v>13</v>
      </c>
      <c r="C8" s="14" t="s">
        <v>27</v>
      </c>
      <c r="D8" s="14" t="s">
        <v>20</v>
      </c>
      <c r="E8" s="14">
        <v>47</v>
      </c>
      <c r="F8" s="15">
        <v>19.36</v>
      </c>
      <c r="G8" s="15">
        <f t="shared" si="0"/>
        <v>909.92</v>
      </c>
      <c r="H8">
        <f t="shared" si="2"/>
        <v>1</v>
      </c>
      <c r="I8">
        <f t="shared" si="1"/>
        <v>2024</v>
      </c>
      <c r="J8" s="26">
        <v>0.15</v>
      </c>
      <c r="K8">
        <v>493273.49</v>
      </c>
      <c r="M8" s="28" t="s">
        <v>26</v>
      </c>
      <c r="N8" s="29">
        <v>341.73</v>
      </c>
      <c r="O8" s="30">
        <v>58157.91</v>
      </c>
      <c r="P8" s="30">
        <v>25223.55</v>
      </c>
      <c r="Q8" s="30">
        <v>5089.6899999999996</v>
      </c>
      <c r="R8" s="30">
        <v>30934.9</v>
      </c>
      <c r="S8" s="36">
        <v>119747.78</v>
      </c>
    </row>
    <row r="9" spans="1:19">
      <c r="A9" s="13">
        <v>45320</v>
      </c>
      <c r="B9" s="14" t="s">
        <v>18</v>
      </c>
      <c r="C9" s="14" t="s">
        <v>27</v>
      </c>
      <c r="D9" s="14" t="s">
        <v>22</v>
      </c>
      <c r="E9" s="14">
        <v>26</v>
      </c>
      <c r="F9" s="15">
        <v>38.14</v>
      </c>
      <c r="G9" s="15">
        <f t="shared" si="0"/>
        <v>991.64</v>
      </c>
      <c r="H9">
        <f t="shared" si="2"/>
        <v>1</v>
      </c>
      <c r="I9">
        <f t="shared" si="1"/>
        <v>2024</v>
      </c>
      <c r="M9" s="31" t="s">
        <v>0</v>
      </c>
      <c r="N9" s="32">
        <v>21019.86</v>
      </c>
      <c r="O9" s="33">
        <v>373001.31</v>
      </c>
      <c r="P9" s="33">
        <v>151198.26</v>
      </c>
      <c r="Q9" s="33">
        <v>-141480.06</v>
      </c>
      <c r="R9" s="33">
        <v>96260.63</v>
      </c>
      <c r="S9" s="41">
        <v>500000</v>
      </c>
    </row>
    <row r="10" spans="1:19">
      <c r="A10" s="13">
        <v>45321</v>
      </c>
      <c r="B10" s="14" t="s">
        <v>13</v>
      </c>
      <c r="C10" s="14" t="s">
        <v>19</v>
      </c>
      <c r="D10" s="14" t="s">
        <v>23</v>
      </c>
      <c r="E10" s="14">
        <v>4</v>
      </c>
      <c r="F10" s="15">
        <v>813.47</v>
      </c>
      <c r="G10" s="15">
        <f t="shared" si="0"/>
        <v>3253.88</v>
      </c>
      <c r="H10">
        <f t="shared" si="2"/>
        <v>1</v>
      </c>
      <c r="I10">
        <f t="shared" si="1"/>
        <v>2024</v>
      </c>
    </row>
    <row r="11" spans="1:19">
      <c r="A11" s="13">
        <v>45322</v>
      </c>
      <c r="B11" s="14" t="s">
        <v>18</v>
      </c>
      <c r="C11" s="14" t="s">
        <v>28</v>
      </c>
      <c r="D11" s="14" t="s">
        <v>23</v>
      </c>
      <c r="E11" s="14">
        <v>22</v>
      </c>
      <c r="F11" s="15">
        <v>731.34</v>
      </c>
      <c r="G11" s="15">
        <f t="shared" si="0"/>
        <v>16089.48</v>
      </c>
      <c r="H11">
        <f t="shared" si="2"/>
        <v>1</v>
      </c>
      <c r="I11">
        <f t="shared" si="1"/>
        <v>2024</v>
      </c>
    </row>
    <row r="12" spans="1:19">
      <c r="A12" s="13">
        <v>45327</v>
      </c>
      <c r="B12" s="14" t="s">
        <v>13</v>
      </c>
      <c r="C12" s="14" t="s">
        <v>14</v>
      </c>
      <c r="D12" s="14" t="s">
        <v>20</v>
      </c>
      <c r="E12" s="14">
        <v>8</v>
      </c>
      <c r="F12" s="15">
        <v>21.77</v>
      </c>
      <c r="G12" s="15">
        <f t="shared" si="0"/>
        <v>174.16</v>
      </c>
      <c r="H12">
        <f t="shared" si="2"/>
        <v>2</v>
      </c>
      <c r="I12">
        <f t="shared" si="1"/>
        <v>2024</v>
      </c>
      <c r="M12" s="19" t="s">
        <v>29</v>
      </c>
      <c r="N12" s="34" t="s">
        <v>30</v>
      </c>
    </row>
    <row r="13" spans="1:19">
      <c r="A13" s="13">
        <v>45327</v>
      </c>
      <c r="B13" s="14" t="s">
        <v>10</v>
      </c>
      <c r="C13" s="14" t="s">
        <v>19</v>
      </c>
      <c r="D13" s="14" t="s">
        <v>12</v>
      </c>
      <c r="E13" s="14">
        <v>26</v>
      </c>
      <c r="F13" s="15">
        <v>155.38999999999999</v>
      </c>
      <c r="G13" s="15">
        <f t="shared" si="0"/>
        <v>4040.14</v>
      </c>
      <c r="H13">
        <f t="shared" si="2"/>
        <v>2</v>
      </c>
      <c r="I13">
        <f t="shared" si="1"/>
        <v>2024</v>
      </c>
      <c r="M13" s="23" t="s">
        <v>28</v>
      </c>
      <c r="N13" s="35">
        <v>153126.29999999999</v>
      </c>
      <c r="Q13" s="38" t="s">
        <v>17</v>
      </c>
      <c r="R13" s="39" t="s">
        <v>30</v>
      </c>
    </row>
    <row r="14" spans="1:19">
      <c r="A14" s="13">
        <v>45327</v>
      </c>
      <c r="B14" s="14" t="s">
        <v>10</v>
      </c>
      <c r="C14" s="14" t="s">
        <v>27</v>
      </c>
      <c r="D14" s="14" t="s">
        <v>20</v>
      </c>
      <c r="E14" s="14">
        <v>32</v>
      </c>
      <c r="F14" s="15">
        <v>18.420000000000002</v>
      </c>
      <c r="G14" s="15">
        <f t="shared" si="0"/>
        <v>589.44000000000005</v>
      </c>
      <c r="H14">
        <f t="shared" si="2"/>
        <v>2</v>
      </c>
      <c r="I14">
        <f t="shared" si="1"/>
        <v>2024</v>
      </c>
      <c r="M14" s="28" t="s">
        <v>14</v>
      </c>
      <c r="N14" s="36">
        <v>95881.71</v>
      </c>
      <c r="Q14" s="23" t="s">
        <v>22</v>
      </c>
      <c r="R14" s="35">
        <v>9785.82</v>
      </c>
    </row>
    <row r="15" spans="1:19">
      <c r="A15" s="13">
        <v>45330</v>
      </c>
      <c r="B15" s="14" t="s">
        <v>26</v>
      </c>
      <c r="C15" s="14" t="s">
        <v>28</v>
      </c>
      <c r="D15" s="14" t="s">
        <v>23</v>
      </c>
      <c r="E15" s="14">
        <v>42</v>
      </c>
      <c r="F15" s="15">
        <v>879.89</v>
      </c>
      <c r="G15" s="15">
        <f t="shared" si="0"/>
        <v>36955.379999999997</v>
      </c>
      <c r="H15">
        <f t="shared" si="2"/>
        <v>2</v>
      </c>
      <c r="I15">
        <f t="shared" si="1"/>
        <v>2024</v>
      </c>
      <c r="M15" s="28" t="s">
        <v>27</v>
      </c>
      <c r="N15" s="36">
        <v>133299.35</v>
      </c>
      <c r="Q15" s="28" t="s">
        <v>23</v>
      </c>
      <c r="R15" s="36">
        <v>131504.66</v>
      </c>
    </row>
    <row r="16" spans="1:19">
      <c r="A16" s="13">
        <v>45332</v>
      </c>
      <c r="B16" s="14" t="s">
        <v>13</v>
      </c>
      <c r="C16" s="14" t="s">
        <v>31</v>
      </c>
      <c r="D16" s="14" t="s">
        <v>23</v>
      </c>
      <c r="E16" s="14">
        <v>49</v>
      </c>
      <c r="F16" s="15">
        <v>805.23</v>
      </c>
      <c r="G16" s="15">
        <f t="shared" si="0"/>
        <v>39456.269999999997</v>
      </c>
      <c r="H16">
        <f t="shared" si="2"/>
        <v>2</v>
      </c>
      <c r="I16">
        <f t="shared" si="1"/>
        <v>2024</v>
      </c>
      <c r="M16" s="31" t="s">
        <v>0</v>
      </c>
      <c r="N16" s="37">
        <v>382307.36</v>
      </c>
      <c r="Q16" s="28" t="s">
        <v>15</v>
      </c>
      <c r="R16" s="36">
        <v>63664.82</v>
      </c>
    </row>
    <row r="17" spans="1:18">
      <c r="A17" s="13">
        <v>45339</v>
      </c>
      <c r="B17" s="14" t="s">
        <v>10</v>
      </c>
      <c r="C17" s="14" t="s">
        <v>14</v>
      </c>
      <c r="D17" s="14" t="s">
        <v>20</v>
      </c>
      <c r="E17" s="14">
        <v>45</v>
      </c>
      <c r="F17" s="15">
        <v>18.97</v>
      </c>
      <c r="G17" s="15">
        <f t="shared" si="0"/>
        <v>853.65</v>
      </c>
      <c r="H17">
        <f t="shared" si="2"/>
        <v>2</v>
      </c>
      <c r="I17">
        <f t="shared" si="1"/>
        <v>2024</v>
      </c>
      <c r="Q17" s="28" t="s">
        <v>20</v>
      </c>
      <c r="R17" s="36">
        <v>-152548.59</v>
      </c>
    </row>
    <row r="18" spans="1:18">
      <c r="A18" s="13">
        <v>45341</v>
      </c>
      <c r="B18" s="14" t="s">
        <v>10</v>
      </c>
      <c r="C18" s="14" t="s">
        <v>19</v>
      </c>
      <c r="D18" s="14" t="s">
        <v>12</v>
      </c>
      <c r="E18" s="14">
        <v>17</v>
      </c>
      <c r="F18" s="15">
        <v>159.21</v>
      </c>
      <c r="G18" s="15">
        <f t="shared" si="0"/>
        <v>2706.57</v>
      </c>
      <c r="H18">
        <f t="shared" si="2"/>
        <v>2</v>
      </c>
      <c r="I18">
        <f t="shared" si="1"/>
        <v>2024</v>
      </c>
      <c r="Q18" s="28" t="s">
        <v>12</v>
      </c>
      <c r="R18" s="36">
        <v>29660.59</v>
      </c>
    </row>
    <row r="19" spans="1:18">
      <c r="A19" s="13">
        <v>45341</v>
      </c>
      <c r="B19" s="14" t="s">
        <v>26</v>
      </c>
      <c r="C19" s="14" t="s">
        <v>19</v>
      </c>
      <c r="D19" s="14" t="s">
        <v>20</v>
      </c>
      <c r="E19" s="14">
        <v>27</v>
      </c>
      <c r="F19" s="15">
        <v>19.87</v>
      </c>
      <c r="G19" s="15">
        <f t="shared" si="0"/>
        <v>536.49</v>
      </c>
      <c r="H19">
        <f t="shared" si="2"/>
        <v>2</v>
      </c>
      <c r="I19">
        <f t="shared" si="1"/>
        <v>2024</v>
      </c>
      <c r="Q19" s="42" t="s">
        <v>0</v>
      </c>
      <c r="R19" s="41">
        <v>82067.300000000207</v>
      </c>
    </row>
    <row r="20" spans="1:18">
      <c r="A20" s="13">
        <v>45344</v>
      </c>
      <c r="B20" s="14" t="s">
        <v>13</v>
      </c>
      <c r="C20" s="14" t="s">
        <v>24</v>
      </c>
      <c r="D20" s="14" t="s">
        <v>23</v>
      </c>
      <c r="E20" s="14">
        <v>2</v>
      </c>
      <c r="F20" s="15">
        <v>734.99</v>
      </c>
      <c r="G20" s="15">
        <f t="shared" si="0"/>
        <v>1469.98</v>
      </c>
      <c r="H20">
        <f t="shared" si="2"/>
        <v>2</v>
      </c>
      <c r="I20">
        <f t="shared" si="1"/>
        <v>2024</v>
      </c>
    </row>
    <row r="21" spans="1:18">
      <c r="A21" s="13">
        <v>45345</v>
      </c>
      <c r="B21" s="14" t="s">
        <v>18</v>
      </c>
      <c r="C21" s="14" t="s">
        <v>32</v>
      </c>
      <c r="D21" s="14" t="s">
        <v>23</v>
      </c>
      <c r="E21" s="14">
        <v>7</v>
      </c>
      <c r="F21" s="15">
        <v>838.79</v>
      </c>
      <c r="G21" s="15">
        <f t="shared" si="0"/>
        <v>5871.53</v>
      </c>
      <c r="H21">
        <f t="shared" si="2"/>
        <v>2</v>
      </c>
      <c r="I21">
        <f t="shared" si="1"/>
        <v>2024</v>
      </c>
    </row>
    <row r="22" spans="1:18">
      <c r="A22" s="13">
        <v>45347</v>
      </c>
      <c r="B22" s="14" t="s">
        <v>18</v>
      </c>
      <c r="C22" s="14" t="s">
        <v>14</v>
      </c>
      <c r="D22" s="14" t="s">
        <v>15</v>
      </c>
      <c r="E22" s="14">
        <v>35</v>
      </c>
      <c r="F22" s="15">
        <v>247.43</v>
      </c>
      <c r="G22" s="15">
        <f t="shared" si="0"/>
        <v>8660.0499999999993</v>
      </c>
      <c r="H22">
        <f t="shared" si="2"/>
        <v>2</v>
      </c>
      <c r="I22">
        <f t="shared" si="1"/>
        <v>2024</v>
      </c>
    </row>
    <row r="23" spans="1:18">
      <c r="A23" s="13">
        <v>45353</v>
      </c>
      <c r="B23" s="14" t="s">
        <v>13</v>
      </c>
      <c r="C23" s="14" t="s">
        <v>19</v>
      </c>
      <c r="D23" s="14" t="s">
        <v>12</v>
      </c>
      <c r="E23" s="14">
        <v>28</v>
      </c>
      <c r="F23" s="15">
        <v>154.85</v>
      </c>
      <c r="G23" s="15">
        <f t="shared" si="0"/>
        <v>4335.8</v>
      </c>
      <c r="H23">
        <f t="shared" si="2"/>
        <v>3</v>
      </c>
      <c r="I23">
        <f t="shared" si="1"/>
        <v>2024</v>
      </c>
    </row>
    <row r="24" spans="1:18">
      <c r="A24" s="13">
        <v>45354</v>
      </c>
      <c r="B24" s="14" t="s">
        <v>26</v>
      </c>
      <c r="C24" s="14" t="s">
        <v>11</v>
      </c>
      <c r="D24" s="14" t="s">
        <v>20</v>
      </c>
      <c r="E24" s="14">
        <v>43</v>
      </c>
      <c r="F24" s="15">
        <v>20.12</v>
      </c>
      <c r="G24" s="15">
        <f t="shared" si="0"/>
        <v>865.16</v>
      </c>
      <c r="H24">
        <f t="shared" si="2"/>
        <v>3</v>
      </c>
      <c r="I24">
        <f t="shared" si="1"/>
        <v>2024</v>
      </c>
    </row>
    <row r="25" spans="1:18">
      <c r="A25" s="13">
        <v>45356</v>
      </c>
      <c r="B25" s="14" t="s">
        <v>18</v>
      </c>
      <c r="C25" s="14" t="s">
        <v>31</v>
      </c>
      <c r="D25" s="14" t="s">
        <v>12</v>
      </c>
      <c r="E25" s="14">
        <v>11</v>
      </c>
      <c r="F25" s="15">
        <v>142.94999999999999</v>
      </c>
      <c r="G25" s="15">
        <f t="shared" si="0"/>
        <v>1572.45</v>
      </c>
      <c r="H25">
        <f t="shared" si="2"/>
        <v>3</v>
      </c>
      <c r="I25">
        <f t="shared" si="1"/>
        <v>2024</v>
      </c>
    </row>
    <row r="26" spans="1:18">
      <c r="A26" s="13">
        <v>45357</v>
      </c>
      <c r="B26" s="14" t="s">
        <v>13</v>
      </c>
      <c r="C26" s="14" t="s">
        <v>32</v>
      </c>
      <c r="D26" s="14" t="s">
        <v>22</v>
      </c>
      <c r="E26" s="14">
        <v>3</v>
      </c>
      <c r="F26" s="15">
        <v>43.19</v>
      </c>
      <c r="G26" s="15">
        <f t="shared" si="0"/>
        <v>129.57</v>
      </c>
      <c r="H26">
        <f t="shared" si="2"/>
        <v>3</v>
      </c>
      <c r="I26">
        <f t="shared" si="1"/>
        <v>2024</v>
      </c>
    </row>
    <row r="27" spans="1:18">
      <c r="A27" s="13">
        <v>45359</v>
      </c>
      <c r="B27" s="14" t="s">
        <v>10</v>
      </c>
      <c r="C27" s="14" t="s">
        <v>28</v>
      </c>
      <c r="D27" s="14" t="s">
        <v>15</v>
      </c>
      <c r="E27" s="14">
        <v>24</v>
      </c>
      <c r="F27" s="15">
        <v>239.25</v>
      </c>
      <c r="G27" s="15">
        <f t="shared" si="0"/>
        <v>5742</v>
      </c>
      <c r="H27">
        <f t="shared" si="2"/>
        <v>3</v>
      </c>
      <c r="I27">
        <f t="shared" si="1"/>
        <v>2024</v>
      </c>
    </row>
    <row r="28" spans="1:18">
      <c r="A28" s="13">
        <v>45362</v>
      </c>
      <c r="B28" s="14" t="s">
        <v>26</v>
      </c>
      <c r="C28" s="14" t="s">
        <v>28</v>
      </c>
      <c r="D28" s="14" t="s">
        <v>23</v>
      </c>
      <c r="E28" s="14">
        <v>8</v>
      </c>
      <c r="F28" s="15">
        <v>744.45</v>
      </c>
      <c r="G28" s="15">
        <f t="shared" si="0"/>
        <v>5955.6</v>
      </c>
      <c r="H28">
        <f t="shared" si="2"/>
        <v>3</v>
      </c>
      <c r="I28">
        <f t="shared" si="1"/>
        <v>2024</v>
      </c>
    </row>
    <row r="29" spans="1:18">
      <c r="A29" s="13">
        <v>45370</v>
      </c>
      <c r="B29" s="14" t="s">
        <v>18</v>
      </c>
      <c r="C29" s="14" t="s">
        <v>28</v>
      </c>
      <c r="D29" s="14" t="s">
        <v>20</v>
      </c>
      <c r="E29" s="14">
        <v>27</v>
      </c>
      <c r="F29" s="15">
        <v>19.32</v>
      </c>
      <c r="G29" s="15">
        <f t="shared" si="0"/>
        <v>521.64</v>
      </c>
      <c r="H29">
        <f t="shared" si="2"/>
        <v>3</v>
      </c>
      <c r="I29">
        <f t="shared" si="1"/>
        <v>2024</v>
      </c>
      <c r="K29" s="38" t="s">
        <v>21</v>
      </c>
      <c r="L29" s="39" t="s">
        <v>30</v>
      </c>
      <c r="P29" s="38" t="s">
        <v>33</v>
      </c>
      <c r="Q29" s="39" t="s">
        <v>30</v>
      </c>
    </row>
    <row r="30" spans="1:18">
      <c r="A30" s="13">
        <v>45371</v>
      </c>
      <c r="B30" s="14" t="s">
        <v>10</v>
      </c>
      <c r="C30" s="14" t="s">
        <v>32</v>
      </c>
      <c r="D30" s="14" t="s">
        <v>12</v>
      </c>
      <c r="E30" s="14">
        <v>14</v>
      </c>
      <c r="F30" s="15">
        <v>156.53</v>
      </c>
      <c r="G30" s="15">
        <f t="shared" si="0"/>
        <v>2191.42</v>
      </c>
      <c r="H30">
        <f t="shared" si="2"/>
        <v>3</v>
      </c>
      <c r="I30">
        <f t="shared" si="1"/>
        <v>2024</v>
      </c>
      <c r="K30" s="23" t="s">
        <v>10</v>
      </c>
      <c r="L30" s="35">
        <v>82067.300000000207</v>
      </c>
      <c r="P30" s="23" t="s">
        <v>34</v>
      </c>
      <c r="Q30" s="35">
        <v>1127.8399999999999</v>
      </c>
    </row>
    <row r="31" spans="1:18">
      <c r="A31" s="13">
        <v>45373</v>
      </c>
      <c r="B31" s="14" t="s">
        <v>26</v>
      </c>
      <c r="C31" s="14" t="s">
        <v>28</v>
      </c>
      <c r="D31" s="14" t="s">
        <v>20</v>
      </c>
      <c r="E31" s="14">
        <v>25</v>
      </c>
      <c r="F31" s="15">
        <v>20.38</v>
      </c>
      <c r="G31" s="15">
        <f t="shared" si="0"/>
        <v>509.5</v>
      </c>
      <c r="H31">
        <f t="shared" si="2"/>
        <v>3</v>
      </c>
      <c r="I31">
        <f t="shared" si="1"/>
        <v>2024</v>
      </c>
      <c r="K31" s="40" t="s">
        <v>0</v>
      </c>
      <c r="L31" s="41">
        <v>82067.300000000207</v>
      </c>
      <c r="P31" s="28" t="s">
        <v>35</v>
      </c>
      <c r="Q31" s="36">
        <v>8189.8</v>
      </c>
    </row>
    <row r="32" spans="1:18">
      <c r="A32" s="13">
        <v>45393</v>
      </c>
      <c r="B32" s="14" t="s">
        <v>18</v>
      </c>
      <c r="C32" s="14" t="s">
        <v>27</v>
      </c>
      <c r="D32" s="14" t="s">
        <v>23</v>
      </c>
      <c r="E32" s="14">
        <v>16</v>
      </c>
      <c r="F32" s="15">
        <v>877.43</v>
      </c>
      <c r="G32" s="15">
        <f t="shared" si="0"/>
        <v>14038.88</v>
      </c>
      <c r="H32">
        <f t="shared" si="2"/>
        <v>4</v>
      </c>
      <c r="I32">
        <f t="shared" si="1"/>
        <v>2024</v>
      </c>
      <c r="P32" s="28" t="s">
        <v>36</v>
      </c>
      <c r="Q32" s="36">
        <v>7933.42</v>
      </c>
    </row>
    <row r="33" spans="1:17">
      <c r="A33" s="13">
        <v>45394</v>
      </c>
      <c r="B33" s="14" t="s">
        <v>10</v>
      </c>
      <c r="C33" s="14" t="s">
        <v>24</v>
      </c>
      <c r="D33" s="14" t="s">
        <v>22</v>
      </c>
      <c r="E33" s="14">
        <v>29</v>
      </c>
      <c r="F33" s="15">
        <v>43.2</v>
      </c>
      <c r="G33" s="15">
        <f t="shared" si="0"/>
        <v>1252.8</v>
      </c>
      <c r="H33">
        <f t="shared" si="2"/>
        <v>4</v>
      </c>
      <c r="I33">
        <f t="shared" si="1"/>
        <v>2024</v>
      </c>
      <c r="P33" s="28" t="s">
        <v>37</v>
      </c>
      <c r="Q33" s="36">
        <v>1959.8</v>
      </c>
    </row>
    <row r="34" spans="1:17">
      <c r="A34" s="13">
        <v>45396</v>
      </c>
      <c r="B34" s="14" t="s">
        <v>10</v>
      </c>
      <c r="C34" s="14" t="s">
        <v>31</v>
      </c>
      <c r="D34" s="14" t="s">
        <v>22</v>
      </c>
      <c r="E34" s="14">
        <v>4</v>
      </c>
      <c r="F34" s="15">
        <v>36.74</v>
      </c>
      <c r="G34" s="15">
        <f t="shared" si="0"/>
        <v>146.96</v>
      </c>
      <c r="H34">
        <f t="shared" si="2"/>
        <v>4</v>
      </c>
      <c r="I34">
        <f t="shared" si="1"/>
        <v>2024</v>
      </c>
      <c r="P34" s="28" t="s">
        <v>38</v>
      </c>
      <c r="Q34" s="36">
        <v>46147.87</v>
      </c>
    </row>
    <row r="35" spans="1:17">
      <c r="A35" s="13">
        <v>45399</v>
      </c>
      <c r="B35" s="14" t="s">
        <v>18</v>
      </c>
      <c r="C35" s="14" t="s">
        <v>28</v>
      </c>
      <c r="D35" s="14" t="s">
        <v>22</v>
      </c>
      <c r="E35" s="14">
        <v>50</v>
      </c>
      <c r="F35" s="15">
        <v>40.479999999999997</v>
      </c>
      <c r="G35" s="15">
        <f t="shared" si="0"/>
        <v>2024</v>
      </c>
      <c r="H35">
        <f t="shared" si="2"/>
        <v>4</v>
      </c>
      <c r="I35">
        <f t="shared" si="1"/>
        <v>2024</v>
      </c>
      <c r="P35" s="28" t="s">
        <v>39</v>
      </c>
      <c r="Q35" s="36">
        <v>2892.3</v>
      </c>
    </row>
    <row r="36" spans="1:17">
      <c r="A36" s="13">
        <v>45400</v>
      </c>
      <c r="B36" s="14" t="s">
        <v>10</v>
      </c>
      <c r="C36" s="14" t="s">
        <v>14</v>
      </c>
      <c r="D36" s="14" t="s">
        <v>20</v>
      </c>
      <c r="E36" s="14">
        <v>26</v>
      </c>
      <c r="F36" s="15">
        <v>21.54</v>
      </c>
      <c r="G36" s="15">
        <f t="shared" si="0"/>
        <v>560.04</v>
      </c>
      <c r="H36">
        <f t="shared" si="2"/>
        <v>4</v>
      </c>
      <c r="I36">
        <f t="shared" si="1"/>
        <v>2024</v>
      </c>
      <c r="P36" s="28" t="s">
        <v>40</v>
      </c>
      <c r="Q36" s="36">
        <v>16502.919999999998</v>
      </c>
    </row>
    <row r="37" spans="1:17">
      <c r="A37" s="13">
        <v>45401</v>
      </c>
      <c r="B37" s="14" t="s">
        <v>26</v>
      </c>
      <c r="C37" s="14" t="s">
        <v>27</v>
      </c>
      <c r="D37" s="14" t="s">
        <v>15</v>
      </c>
      <c r="E37" s="14">
        <v>25</v>
      </c>
      <c r="F37" s="15">
        <v>225.11</v>
      </c>
      <c r="G37" s="15">
        <f t="shared" si="0"/>
        <v>5627.75</v>
      </c>
      <c r="H37">
        <f t="shared" si="2"/>
        <v>4</v>
      </c>
      <c r="I37">
        <f t="shared" si="1"/>
        <v>2024</v>
      </c>
      <c r="P37" s="28" t="s">
        <v>41</v>
      </c>
      <c r="Q37" s="36">
        <v>84304.14</v>
      </c>
    </row>
    <row r="38" spans="1:17">
      <c r="A38" s="13">
        <v>45408</v>
      </c>
      <c r="B38" s="14" t="s">
        <v>18</v>
      </c>
      <c r="C38" s="14" t="s">
        <v>27</v>
      </c>
      <c r="D38" s="14" t="s">
        <v>15</v>
      </c>
      <c r="E38" s="14">
        <v>26</v>
      </c>
      <c r="F38" s="15">
        <v>241.41</v>
      </c>
      <c r="G38" s="15">
        <f t="shared" si="0"/>
        <v>6276.66</v>
      </c>
      <c r="H38">
        <f t="shared" si="2"/>
        <v>4</v>
      </c>
      <c r="I38">
        <f t="shared" si="1"/>
        <v>2024</v>
      </c>
      <c r="P38" s="28" t="s">
        <v>42</v>
      </c>
      <c r="Q38" s="36">
        <v>48791.59</v>
      </c>
    </row>
    <row r="39" spans="1:17">
      <c r="A39" s="13">
        <v>45411</v>
      </c>
      <c r="B39" s="14" t="s">
        <v>13</v>
      </c>
      <c r="C39" s="14" t="s">
        <v>14</v>
      </c>
      <c r="D39" s="14" t="s">
        <v>12</v>
      </c>
      <c r="E39" s="14">
        <v>27</v>
      </c>
      <c r="F39" s="15">
        <v>141.61000000000001</v>
      </c>
      <c r="G39" s="15">
        <f t="shared" si="0"/>
        <v>3823.47</v>
      </c>
      <c r="H39">
        <f t="shared" si="2"/>
        <v>4</v>
      </c>
      <c r="I39">
        <f t="shared" si="1"/>
        <v>2024</v>
      </c>
      <c r="P39" s="28" t="s">
        <v>43</v>
      </c>
      <c r="Q39" s="36">
        <v>-141571.24</v>
      </c>
    </row>
    <row r="40" spans="1:17">
      <c r="A40" s="13">
        <v>45413</v>
      </c>
      <c r="B40" s="14" t="s">
        <v>10</v>
      </c>
      <c r="C40" s="14" t="s">
        <v>31</v>
      </c>
      <c r="D40" s="14" t="s">
        <v>15</v>
      </c>
      <c r="E40" s="14">
        <v>35</v>
      </c>
      <c r="F40" s="15">
        <v>231.62</v>
      </c>
      <c r="G40" s="15">
        <f t="shared" si="0"/>
        <v>8106.7</v>
      </c>
      <c r="H40">
        <f t="shared" si="2"/>
        <v>5</v>
      </c>
      <c r="I40">
        <f t="shared" si="1"/>
        <v>2024</v>
      </c>
      <c r="P40" s="28" t="s">
        <v>44</v>
      </c>
      <c r="Q40" s="36">
        <v>5788.86</v>
      </c>
    </row>
    <row r="41" spans="1:17">
      <c r="A41" s="13">
        <v>45414</v>
      </c>
      <c r="B41" s="14" t="s">
        <v>10</v>
      </c>
      <c r="C41" s="14" t="s">
        <v>24</v>
      </c>
      <c r="D41" s="14" t="s">
        <v>15</v>
      </c>
      <c r="E41" s="14">
        <v>43</v>
      </c>
      <c r="F41" s="15">
        <v>257.27999999999997</v>
      </c>
      <c r="G41" s="15">
        <f t="shared" si="0"/>
        <v>11063.04</v>
      </c>
      <c r="H41">
        <f t="shared" si="2"/>
        <v>5</v>
      </c>
      <c r="I41">
        <f t="shared" si="1"/>
        <v>2024</v>
      </c>
      <c r="P41" s="42" t="s">
        <v>0</v>
      </c>
      <c r="Q41" s="41">
        <v>82067.300000000207</v>
      </c>
    </row>
    <row r="42" spans="1:17">
      <c r="A42" s="13">
        <v>45418</v>
      </c>
      <c r="B42" s="14" t="s">
        <v>10</v>
      </c>
      <c r="C42" s="14" t="s">
        <v>31</v>
      </c>
      <c r="D42" s="14" t="s">
        <v>15</v>
      </c>
      <c r="E42" s="14">
        <v>18</v>
      </c>
      <c r="F42" s="15">
        <v>246.99</v>
      </c>
      <c r="G42" s="15">
        <f t="shared" si="0"/>
        <v>4445.82</v>
      </c>
      <c r="H42">
        <f t="shared" si="2"/>
        <v>5</v>
      </c>
      <c r="I42">
        <f t="shared" si="1"/>
        <v>2024</v>
      </c>
    </row>
    <row r="43" spans="1:17">
      <c r="A43" s="13">
        <v>45419</v>
      </c>
      <c r="B43" s="14" t="s">
        <v>10</v>
      </c>
      <c r="C43" s="14" t="s">
        <v>11</v>
      </c>
      <c r="D43" s="14" t="s">
        <v>23</v>
      </c>
      <c r="E43" s="14">
        <v>25</v>
      </c>
      <c r="F43" s="15">
        <v>859.55</v>
      </c>
      <c r="G43" s="15">
        <f t="shared" si="0"/>
        <v>21488.75</v>
      </c>
      <c r="H43">
        <f t="shared" si="2"/>
        <v>5</v>
      </c>
      <c r="I43">
        <f t="shared" si="1"/>
        <v>2024</v>
      </c>
    </row>
    <row r="44" spans="1:17">
      <c r="A44" s="13">
        <v>45425</v>
      </c>
      <c r="B44" s="14" t="s">
        <v>26</v>
      </c>
      <c r="C44" s="14" t="s">
        <v>19</v>
      </c>
      <c r="D44" s="14" t="s">
        <v>15</v>
      </c>
      <c r="E44" s="14">
        <v>30</v>
      </c>
      <c r="F44" s="15">
        <v>241.34</v>
      </c>
      <c r="G44" s="15">
        <f t="shared" si="0"/>
        <v>7240.2</v>
      </c>
      <c r="H44">
        <f t="shared" si="2"/>
        <v>5</v>
      </c>
      <c r="I44">
        <f t="shared" si="1"/>
        <v>2024</v>
      </c>
    </row>
    <row r="45" spans="1:17">
      <c r="A45" s="13">
        <v>45427</v>
      </c>
      <c r="B45" s="14" t="s">
        <v>13</v>
      </c>
      <c r="C45" s="14" t="s">
        <v>28</v>
      </c>
      <c r="D45" s="14" t="s">
        <v>12</v>
      </c>
      <c r="E45" s="14">
        <v>28</v>
      </c>
      <c r="F45" s="15">
        <v>145.37</v>
      </c>
      <c r="G45" s="15">
        <f t="shared" si="0"/>
        <v>4070.36</v>
      </c>
      <c r="H45">
        <f t="shared" si="2"/>
        <v>5</v>
      </c>
      <c r="I45">
        <f t="shared" si="1"/>
        <v>2024</v>
      </c>
    </row>
    <row r="46" spans="1:17">
      <c r="A46" s="13">
        <v>45428</v>
      </c>
      <c r="B46" s="14" t="s">
        <v>13</v>
      </c>
      <c r="C46" s="14" t="s">
        <v>11</v>
      </c>
      <c r="D46" s="14" t="s">
        <v>12</v>
      </c>
      <c r="E46" s="14">
        <v>47</v>
      </c>
      <c r="F46" s="15">
        <v>142.34</v>
      </c>
      <c r="G46" s="15">
        <f t="shared" si="0"/>
        <v>6689.98</v>
      </c>
      <c r="H46">
        <f t="shared" si="2"/>
        <v>5</v>
      </c>
      <c r="I46">
        <f t="shared" si="1"/>
        <v>2024</v>
      </c>
    </row>
    <row r="47" spans="1:17">
      <c r="A47" s="13">
        <v>45428</v>
      </c>
      <c r="B47" s="14" t="s">
        <v>10</v>
      </c>
      <c r="C47" s="14" t="s">
        <v>28</v>
      </c>
      <c r="D47" s="14" t="s">
        <v>22</v>
      </c>
      <c r="E47" s="14">
        <v>28</v>
      </c>
      <c r="F47" s="15">
        <v>37.270000000000003</v>
      </c>
      <c r="G47" s="15">
        <f t="shared" si="0"/>
        <v>1043.56</v>
      </c>
      <c r="H47">
        <f t="shared" si="2"/>
        <v>5</v>
      </c>
      <c r="I47">
        <f t="shared" si="1"/>
        <v>2024</v>
      </c>
    </row>
    <row r="48" spans="1:17">
      <c r="A48" s="13">
        <v>45433</v>
      </c>
      <c r="B48" s="14" t="s">
        <v>13</v>
      </c>
      <c r="C48" s="14" t="s">
        <v>14</v>
      </c>
      <c r="D48" s="14" t="s">
        <v>23</v>
      </c>
      <c r="E48" s="14">
        <v>16</v>
      </c>
      <c r="F48" s="15">
        <v>835.21</v>
      </c>
      <c r="G48" s="15">
        <f t="shared" si="0"/>
        <v>13363.36</v>
      </c>
      <c r="H48">
        <f t="shared" si="2"/>
        <v>5</v>
      </c>
      <c r="I48">
        <f t="shared" si="1"/>
        <v>2024</v>
      </c>
    </row>
    <row r="49" spans="1:9">
      <c r="A49" s="13">
        <v>45434</v>
      </c>
      <c r="B49" s="14" t="s">
        <v>18</v>
      </c>
      <c r="C49" s="14" t="s">
        <v>14</v>
      </c>
      <c r="D49" s="14" t="s">
        <v>22</v>
      </c>
      <c r="E49" s="14">
        <v>7</v>
      </c>
      <c r="F49" s="15">
        <v>36.74</v>
      </c>
      <c r="G49" s="15">
        <f t="shared" si="0"/>
        <v>257.18</v>
      </c>
      <c r="H49">
        <f t="shared" si="2"/>
        <v>5</v>
      </c>
      <c r="I49">
        <f t="shared" si="1"/>
        <v>2024</v>
      </c>
    </row>
    <row r="50" spans="1:9">
      <c r="A50" s="13">
        <v>45440</v>
      </c>
      <c r="B50" s="14" t="s">
        <v>13</v>
      </c>
      <c r="C50" s="14" t="s">
        <v>14</v>
      </c>
      <c r="D50" s="14" t="s">
        <v>23</v>
      </c>
      <c r="E50" s="14">
        <v>25</v>
      </c>
      <c r="F50" s="15">
        <v>764.48</v>
      </c>
      <c r="G50" s="15">
        <f t="shared" si="0"/>
        <v>19112</v>
      </c>
      <c r="H50">
        <f t="shared" si="2"/>
        <v>5</v>
      </c>
      <c r="I50">
        <f t="shared" si="1"/>
        <v>2024</v>
      </c>
    </row>
    <row r="51" spans="1:9">
      <c r="A51" s="13">
        <v>45444</v>
      </c>
      <c r="B51" s="14" t="s">
        <v>18</v>
      </c>
      <c r="C51" s="14" t="s">
        <v>11</v>
      </c>
      <c r="D51" s="14" t="s">
        <v>22</v>
      </c>
      <c r="E51" s="14">
        <v>49</v>
      </c>
      <c r="F51" s="15">
        <v>37.29</v>
      </c>
      <c r="G51" s="15">
        <f t="shared" si="0"/>
        <v>1827.21</v>
      </c>
      <c r="H51">
        <f t="shared" si="2"/>
        <v>6</v>
      </c>
      <c r="I51">
        <f t="shared" si="1"/>
        <v>2024</v>
      </c>
    </row>
    <row r="52" spans="1:9">
      <c r="A52" s="13">
        <v>45444</v>
      </c>
      <c r="B52" s="14" t="s">
        <v>26</v>
      </c>
      <c r="C52" s="14" t="s">
        <v>24</v>
      </c>
      <c r="D52" s="14" t="s">
        <v>12</v>
      </c>
      <c r="E52" s="14">
        <v>48</v>
      </c>
      <c r="F52" s="15">
        <v>157.04</v>
      </c>
      <c r="G52" s="15">
        <f t="shared" si="0"/>
        <v>7537.92</v>
      </c>
      <c r="H52">
        <f t="shared" si="2"/>
        <v>6</v>
      </c>
      <c r="I52">
        <f t="shared" si="1"/>
        <v>2024</v>
      </c>
    </row>
    <row r="53" spans="1:9">
      <c r="A53" s="13">
        <v>45451</v>
      </c>
      <c r="B53" s="14" t="s">
        <v>26</v>
      </c>
      <c r="C53" s="14" t="s">
        <v>24</v>
      </c>
      <c r="D53" s="14" t="s">
        <v>15</v>
      </c>
      <c r="E53" s="14">
        <v>5</v>
      </c>
      <c r="F53" s="15">
        <v>254.6</v>
      </c>
      <c r="G53" s="15">
        <f t="shared" si="0"/>
        <v>1273</v>
      </c>
      <c r="H53">
        <f t="shared" si="2"/>
        <v>6</v>
      </c>
      <c r="I53">
        <f t="shared" si="1"/>
        <v>2024</v>
      </c>
    </row>
    <row r="54" spans="1:9">
      <c r="A54" s="13">
        <v>45452</v>
      </c>
      <c r="B54" s="14" t="s">
        <v>26</v>
      </c>
      <c r="C54" s="14" t="s">
        <v>28</v>
      </c>
      <c r="D54" s="14" t="s">
        <v>20</v>
      </c>
      <c r="E54" s="14">
        <v>37</v>
      </c>
      <c r="F54" s="15">
        <v>18.760000000000002</v>
      </c>
      <c r="G54" s="15">
        <f t="shared" si="0"/>
        <v>694.12</v>
      </c>
      <c r="H54">
        <f t="shared" si="2"/>
        <v>6</v>
      </c>
      <c r="I54">
        <f t="shared" si="1"/>
        <v>2024</v>
      </c>
    </row>
    <row r="55" spans="1:9">
      <c r="A55" s="13">
        <v>45461</v>
      </c>
      <c r="B55" s="14" t="s">
        <v>10</v>
      </c>
      <c r="C55" s="14" t="s">
        <v>28</v>
      </c>
      <c r="D55" s="14" t="s">
        <v>22</v>
      </c>
      <c r="E55" s="14">
        <v>33</v>
      </c>
      <c r="F55" s="15">
        <v>38.47</v>
      </c>
      <c r="G55" s="15">
        <f t="shared" si="0"/>
        <v>1269.51</v>
      </c>
      <c r="H55">
        <f t="shared" si="2"/>
        <v>6</v>
      </c>
      <c r="I55">
        <f t="shared" si="1"/>
        <v>2024</v>
      </c>
    </row>
    <row r="56" spans="1:9">
      <c r="A56" s="13">
        <v>45464</v>
      </c>
      <c r="B56" s="14" t="s">
        <v>13</v>
      </c>
      <c r="C56" s="14" t="s">
        <v>31</v>
      </c>
      <c r="D56" s="14" t="s">
        <v>22</v>
      </c>
      <c r="E56" s="14">
        <v>12</v>
      </c>
      <c r="F56" s="15">
        <v>39.9</v>
      </c>
      <c r="G56" s="15">
        <f t="shared" si="0"/>
        <v>478.8</v>
      </c>
      <c r="H56">
        <f t="shared" si="2"/>
        <v>6</v>
      </c>
      <c r="I56">
        <f t="shared" si="1"/>
        <v>2024</v>
      </c>
    </row>
    <row r="57" spans="1:9">
      <c r="A57" s="13">
        <v>45473</v>
      </c>
      <c r="B57" s="14" t="s">
        <v>10</v>
      </c>
      <c r="C57" s="14" t="s">
        <v>19</v>
      </c>
      <c r="D57" s="14" t="s">
        <v>22</v>
      </c>
      <c r="E57" s="14">
        <v>39</v>
      </c>
      <c r="F57" s="15">
        <v>41.61</v>
      </c>
      <c r="G57" s="15">
        <f t="shared" si="0"/>
        <v>1622.79</v>
      </c>
      <c r="H57">
        <f t="shared" si="2"/>
        <v>6</v>
      </c>
      <c r="I57">
        <f t="shared" si="1"/>
        <v>2024</v>
      </c>
    </row>
    <row r="58" spans="1:9">
      <c r="A58" s="13">
        <v>45477</v>
      </c>
      <c r="B58" s="14" t="s">
        <v>10</v>
      </c>
      <c r="C58" s="14" t="s">
        <v>14</v>
      </c>
      <c r="D58" s="14" t="s">
        <v>23</v>
      </c>
      <c r="E58" s="14">
        <v>16</v>
      </c>
      <c r="F58" s="15">
        <v>860.48</v>
      </c>
      <c r="G58" s="15">
        <f t="shared" si="0"/>
        <v>13767.68</v>
      </c>
      <c r="H58">
        <f t="shared" si="2"/>
        <v>7</v>
      </c>
      <c r="I58">
        <f t="shared" si="1"/>
        <v>2024</v>
      </c>
    </row>
    <row r="59" spans="1:9">
      <c r="A59" s="13">
        <v>45477</v>
      </c>
      <c r="B59" s="14" t="s">
        <v>26</v>
      </c>
      <c r="C59" s="14" t="s">
        <v>11</v>
      </c>
      <c r="D59" s="14" t="s">
        <v>20</v>
      </c>
      <c r="E59" s="14">
        <v>12</v>
      </c>
      <c r="F59" s="15">
        <v>20.94</v>
      </c>
      <c r="G59" s="15">
        <f t="shared" si="0"/>
        <v>251.28</v>
      </c>
      <c r="H59">
        <f t="shared" si="2"/>
        <v>7</v>
      </c>
      <c r="I59">
        <f t="shared" si="1"/>
        <v>2024</v>
      </c>
    </row>
    <row r="60" spans="1:9">
      <c r="A60" s="13">
        <v>45486</v>
      </c>
      <c r="B60" s="14" t="s">
        <v>10</v>
      </c>
      <c r="C60" s="14" t="s">
        <v>24</v>
      </c>
      <c r="D60" s="14" t="s">
        <v>22</v>
      </c>
      <c r="E60" s="14">
        <v>6</v>
      </c>
      <c r="F60" s="15">
        <v>39.76</v>
      </c>
      <c r="G60" s="15">
        <f t="shared" si="0"/>
        <v>238.56</v>
      </c>
      <c r="H60">
        <f t="shared" si="2"/>
        <v>7</v>
      </c>
      <c r="I60">
        <f t="shared" si="1"/>
        <v>2024</v>
      </c>
    </row>
    <row r="61" spans="1:9">
      <c r="A61" s="13">
        <v>45491</v>
      </c>
      <c r="B61" s="14" t="s">
        <v>10</v>
      </c>
      <c r="C61" s="14" t="s">
        <v>31</v>
      </c>
      <c r="D61" s="14" t="s">
        <v>22</v>
      </c>
      <c r="E61" s="14">
        <v>28</v>
      </c>
      <c r="F61" s="15">
        <v>41.57</v>
      </c>
      <c r="G61" s="15">
        <f t="shared" si="0"/>
        <v>1163.96</v>
      </c>
      <c r="H61">
        <f t="shared" si="2"/>
        <v>7</v>
      </c>
      <c r="I61">
        <f t="shared" si="1"/>
        <v>2024</v>
      </c>
    </row>
    <row r="62" spans="1:9">
      <c r="A62" s="13">
        <v>45500</v>
      </c>
      <c r="B62" s="14" t="s">
        <v>18</v>
      </c>
      <c r="C62" s="14" t="s">
        <v>14</v>
      </c>
      <c r="D62" s="14" t="s">
        <v>15</v>
      </c>
      <c r="E62" s="14">
        <v>12</v>
      </c>
      <c r="F62" s="15">
        <v>269.07</v>
      </c>
      <c r="G62" s="15">
        <f t="shared" si="0"/>
        <v>3228.84</v>
      </c>
      <c r="H62">
        <f t="shared" si="2"/>
        <v>7</v>
      </c>
      <c r="I62">
        <f t="shared" si="1"/>
        <v>2024</v>
      </c>
    </row>
    <row r="63" spans="1:9">
      <c r="A63" s="13">
        <v>45501</v>
      </c>
      <c r="B63" s="14" t="s">
        <v>10</v>
      </c>
      <c r="C63" s="14" t="s">
        <v>24</v>
      </c>
      <c r="D63" s="14" t="s">
        <v>22</v>
      </c>
      <c r="E63" s="14">
        <v>36</v>
      </c>
      <c r="F63" s="15">
        <v>37.020000000000003</v>
      </c>
      <c r="G63" s="15">
        <f t="shared" si="0"/>
        <v>1332.72</v>
      </c>
      <c r="H63">
        <f t="shared" si="2"/>
        <v>7</v>
      </c>
      <c r="I63">
        <f t="shared" si="1"/>
        <v>2024</v>
      </c>
    </row>
    <row r="64" spans="1:9">
      <c r="A64" s="13">
        <v>45507</v>
      </c>
      <c r="B64" s="14" t="s">
        <v>26</v>
      </c>
      <c r="C64" s="14" t="s">
        <v>11</v>
      </c>
      <c r="D64" s="14" t="s">
        <v>12</v>
      </c>
      <c r="E64" s="14">
        <v>37</v>
      </c>
      <c r="F64" s="15">
        <v>144.03</v>
      </c>
      <c r="G64" s="15">
        <f t="shared" si="0"/>
        <v>5329.11</v>
      </c>
      <c r="H64">
        <f t="shared" si="2"/>
        <v>8</v>
      </c>
      <c r="I64">
        <f t="shared" si="1"/>
        <v>2024</v>
      </c>
    </row>
    <row r="65" spans="1:9">
      <c r="A65" s="13">
        <v>45508</v>
      </c>
      <c r="B65" s="14" t="s">
        <v>18</v>
      </c>
      <c r="C65" s="14" t="s">
        <v>32</v>
      </c>
      <c r="D65" s="14" t="s">
        <v>20</v>
      </c>
      <c r="E65" s="14">
        <v>16</v>
      </c>
      <c r="F65" s="15">
        <v>21.5</v>
      </c>
      <c r="G65" s="15">
        <f t="shared" si="0"/>
        <v>344</v>
      </c>
      <c r="H65">
        <f t="shared" si="2"/>
        <v>8</v>
      </c>
      <c r="I65">
        <f t="shared" si="1"/>
        <v>2024</v>
      </c>
    </row>
    <row r="66" spans="1:9">
      <c r="A66" s="13">
        <v>45508</v>
      </c>
      <c r="B66" s="14" t="s">
        <v>10</v>
      </c>
      <c r="C66" s="14" t="s">
        <v>27</v>
      </c>
      <c r="D66" s="14" t="s">
        <v>23</v>
      </c>
      <c r="E66" s="14">
        <v>22</v>
      </c>
      <c r="F66" s="15">
        <v>843.38</v>
      </c>
      <c r="G66" s="15">
        <f t="shared" ref="G66:G121" si="3">E66*F66</f>
        <v>18554.36</v>
      </c>
      <c r="H66">
        <f t="shared" si="2"/>
        <v>8</v>
      </c>
      <c r="I66">
        <f t="shared" si="1"/>
        <v>2024</v>
      </c>
    </row>
    <row r="67" spans="1:9">
      <c r="A67" s="13">
        <v>45510</v>
      </c>
      <c r="B67" s="14" t="s">
        <v>26</v>
      </c>
      <c r="C67" s="14" t="s">
        <v>11</v>
      </c>
      <c r="D67" s="14" t="s">
        <v>20</v>
      </c>
      <c r="E67" s="14">
        <v>29</v>
      </c>
      <c r="F67" s="15">
        <v>19.04</v>
      </c>
      <c r="G67" s="15">
        <f t="shared" si="3"/>
        <v>552.16</v>
      </c>
      <c r="H67">
        <f t="shared" ref="H67:H121" si="4">MONTH(A67)</f>
        <v>8</v>
      </c>
      <c r="I67">
        <f t="shared" ref="I67:I121" si="5">YEAR(A67)</f>
        <v>2024</v>
      </c>
    </row>
    <row r="68" spans="1:9">
      <c r="A68" s="13">
        <v>45516</v>
      </c>
      <c r="B68" s="14" t="s">
        <v>10</v>
      </c>
      <c r="C68" s="14" t="s">
        <v>27</v>
      </c>
      <c r="D68" s="14" t="s">
        <v>12</v>
      </c>
      <c r="E68" s="14">
        <v>20</v>
      </c>
      <c r="F68" s="15">
        <v>162.94999999999999</v>
      </c>
      <c r="G68" s="15">
        <f t="shared" si="3"/>
        <v>3259</v>
      </c>
      <c r="H68">
        <f t="shared" si="4"/>
        <v>8</v>
      </c>
      <c r="I68">
        <f t="shared" si="5"/>
        <v>2024</v>
      </c>
    </row>
    <row r="69" spans="1:9">
      <c r="A69" s="13">
        <v>45522</v>
      </c>
      <c r="B69" s="14" t="s">
        <v>18</v>
      </c>
      <c r="C69" s="14" t="s">
        <v>31</v>
      </c>
      <c r="D69" s="14" t="s">
        <v>12</v>
      </c>
      <c r="E69" s="14">
        <v>40</v>
      </c>
      <c r="F69" s="15">
        <v>155.05000000000001</v>
      </c>
      <c r="G69" s="15">
        <f t="shared" si="3"/>
        <v>6202</v>
      </c>
      <c r="H69">
        <f t="shared" si="4"/>
        <v>8</v>
      </c>
      <c r="I69">
        <f t="shared" si="5"/>
        <v>2024</v>
      </c>
    </row>
    <row r="70" spans="1:9">
      <c r="A70" s="13">
        <v>45523</v>
      </c>
      <c r="B70" s="14" t="s">
        <v>13</v>
      </c>
      <c r="C70" s="14" t="s">
        <v>14</v>
      </c>
      <c r="D70" s="14" t="s">
        <v>15</v>
      </c>
      <c r="E70" s="14">
        <v>5</v>
      </c>
      <c r="F70" s="15">
        <v>241.9</v>
      </c>
      <c r="G70" s="15">
        <f t="shared" si="3"/>
        <v>1209.5</v>
      </c>
      <c r="H70">
        <f t="shared" si="4"/>
        <v>8</v>
      </c>
      <c r="I70">
        <f t="shared" si="5"/>
        <v>2024</v>
      </c>
    </row>
    <row r="71" spans="1:9">
      <c r="A71" s="13">
        <v>45526</v>
      </c>
      <c r="B71" s="14" t="s">
        <v>10</v>
      </c>
      <c r="C71" s="14" t="s">
        <v>28</v>
      </c>
      <c r="D71" s="14" t="s">
        <v>23</v>
      </c>
      <c r="E71" s="14">
        <v>30</v>
      </c>
      <c r="F71" s="15">
        <v>819.39</v>
      </c>
      <c r="G71" s="15">
        <f t="shared" si="3"/>
        <v>24581.7</v>
      </c>
      <c r="H71">
        <f t="shared" si="4"/>
        <v>8</v>
      </c>
      <c r="I71">
        <f t="shared" si="5"/>
        <v>2024</v>
      </c>
    </row>
    <row r="72" spans="1:9">
      <c r="A72" s="13">
        <v>45527</v>
      </c>
      <c r="B72" s="14" t="s">
        <v>13</v>
      </c>
      <c r="C72" s="14" t="s">
        <v>24</v>
      </c>
      <c r="D72" s="14" t="s">
        <v>23</v>
      </c>
      <c r="E72" s="14">
        <v>36</v>
      </c>
      <c r="F72" s="15">
        <v>766.91</v>
      </c>
      <c r="G72" s="15">
        <f t="shared" si="3"/>
        <v>27608.76</v>
      </c>
      <c r="H72">
        <f t="shared" si="4"/>
        <v>8</v>
      </c>
      <c r="I72">
        <f t="shared" si="5"/>
        <v>2024</v>
      </c>
    </row>
    <row r="73" spans="1:9">
      <c r="A73" s="13">
        <v>45528</v>
      </c>
      <c r="B73" s="14" t="s">
        <v>26</v>
      </c>
      <c r="C73" s="14" t="s">
        <v>32</v>
      </c>
      <c r="D73" s="14" t="s">
        <v>12</v>
      </c>
      <c r="E73" s="14">
        <v>15</v>
      </c>
      <c r="F73" s="15">
        <v>155.54</v>
      </c>
      <c r="G73" s="15">
        <f t="shared" si="3"/>
        <v>2333.1</v>
      </c>
      <c r="H73">
        <f t="shared" si="4"/>
        <v>8</v>
      </c>
      <c r="I73">
        <f t="shared" si="5"/>
        <v>2024</v>
      </c>
    </row>
    <row r="74" spans="1:9">
      <c r="A74" s="13">
        <v>45530</v>
      </c>
      <c r="B74" s="14" t="s">
        <v>26</v>
      </c>
      <c r="C74" s="14" t="s">
        <v>27</v>
      </c>
      <c r="D74" s="14" t="s">
        <v>15</v>
      </c>
      <c r="E74" s="14">
        <v>27</v>
      </c>
      <c r="F74" s="15">
        <v>244.47</v>
      </c>
      <c r="G74" s="15">
        <f t="shared" si="3"/>
        <v>6600.69</v>
      </c>
      <c r="H74">
        <f t="shared" si="4"/>
        <v>8</v>
      </c>
      <c r="I74">
        <f t="shared" si="5"/>
        <v>2024</v>
      </c>
    </row>
    <row r="75" spans="1:9">
      <c r="A75" s="13">
        <v>45531</v>
      </c>
      <c r="B75" s="14" t="s">
        <v>10</v>
      </c>
      <c r="C75" s="14" t="s">
        <v>27</v>
      </c>
      <c r="D75" s="14" t="s">
        <v>23</v>
      </c>
      <c r="E75" s="14">
        <v>44</v>
      </c>
      <c r="F75" s="15">
        <v>861.57</v>
      </c>
      <c r="G75" s="15">
        <f t="shared" si="3"/>
        <v>37909.08</v>
      </c>
      <c r="H75">
        <f t="shared" si="4"/>
        <v>8</v>
      </c>
      <c r="I75">
        <f t="shared" si="5"/>
        <v>2024</v>
      </c>
    </row>
    <row r="76" spans="1:9">
      <c r="A76" s="13">
        <v>45531</v>
      </c>
      <c r="B76" s="14" t="s">
        <v>18</v>
      </c>
      <c r="C76" s="14" t="s">
        <v>27</v>
      </c>
      <c r="D76" s="14" t="s">
        <v>20</v>
      </c>
      <c r="E76" s="14">
        <v>38</v>
      </c>
      <c r="F76" s="15">
        <v>20.260000000000002</v>
      </c>
      <c r="G76" s="15">
        <f t="shared" si="3"/>
        <v>769.88</v>
      </c>
      <c r="H76">
        <f t="shared" si="4"/>
        <v>8</v>
      </c>
      <c r="I76">
        <f t="shared" si="5"/>
        <v>2024</v>
      </c>
    </row>
    <row r="77" spans="1:9">
      <c r="A77" s="13">
        <v>45532</v>
      </c>
      <c r="B77" s="14" t="s">
        <v>18</v>
      </c>
      <c r="C77" s="14" t="s">
        <v>14</v>
      </c>
      <c r="D77" s="14" t="s">
        <v>20</v>
      </c>
      <c r="E77" s="14">
        <v>23</v>
      </c>
      <c r="F77" s="15">
        <v>19.22</v>
      </c>
      <c r="G77" s="15">
        <f t="shared" si="3"/>
        <v>442.06</v>
      </c>
      <c r="H77">
        <f t="shared" si="4"/>
        <v>8</v>
      </c>
      <c r="I77">
        <f t="shared" si="5"/>
        <v>2024</v>
      </c>
    </row>
    <row r="78" spans="1:9">
      <c r="A78" s="13">
        <v>45542</v>
      </c>
      <c r="B78" s="14" t="s">
        <v>18</v>
      </c>
      <c r="C78" s="14" t="s">
        <v>31</v>
      </c>
      <c r="D78" s="14" t="s">
        <v>20</v>
      </c>
      <c r="E78" s="14">
        <v>29</v>
      </c>
      <c r="F78" s="15">
        <v>21.17</v>
      </c>
      <c r="G78" s="15">
        <f t="shared" si="3"/>
        <v>613.92999999999995</v>
      </c>
      <c r="H78">
        <f t="shared" si="4"/>
        <v>9</v>
      </c>
      <c r="I78">
        <f t="shared" si="5"/>
        <v>2024</v>
      </c>
    </row>
    <row r="79" spans="1:9">
      <c r="A79" s="13">
        <v>45549</v>
      </c>
      <c r="B79" s="14" t="s">
        <v>18</v>
      </c>
      <c r="C79" s="14" t="s">
        <v>27</v>
      </c>
      <c r="D79" s="14" t="s">
        <v>12</v>
      </c>
      <c r="E79" s="14">
        <v>6</v>
      </c>
      <c r="F79" s="15">
        <v>160.54</v>
      </c>
      <c r="G79" s="15">
        <f t="shared" si="3"/>
        <v>963.24</v>
      </c>
      <c r="H79">
        <f t="shared" si="4"/>
        <v>9</v>
      </c>
      <c r="I79">
        <f t="shared" si="5"/>
        <v>2024</v>
      </c>
    </row>
    <row r="80" spans="1:9">
      <c r="A80" s="13">
        <v>45553</v>
      </c>
      <c r="B80" s="14" t="s">
        <v>26</v>
      </c>
      <c r="C80" s="14" t="s">
        <v>11</v>
      </c>
      <c r="D80" s="14" t="s">
        <v>23</v>
      </c>
      <c r="E80" s="14">
        <v>19</v>
      </c>
      <c r="F80" s="15">
        <v>802.47</v>
      </c>
      <c r="G80" s="15">
        <f t="shared" si="3"/>
        <v>15246.93</v>
      </c>
      <c r="H80">
        <f t="shared" si="4"/>
        <v>9</v>
      </c>
      <c r="I80">
        <f t="shared" si="5"/>
        <v>2024</v>
      </c>
    </row>
    <row r="81" spans="1:9">
      <c r="A81" s="13">
        <v>45563</v>
      </c>
      <c r="B81" s="14" t="s">
        <v>13</v>
      </c>
      <c r="C81" s="14" t="s">
        <v>19</v>
      </c>
      <c r="D81" s="14" t="s">
        <v>20</v>
      </c>
      <c r="E81" s="14">
        <v>2</v>
      </c>
      <c r="F81" s="15">
        <v>18.45</v>
      </c>
      <c r="G81" s="15">
        <f t="shared" si="3"/>
        <v>36.9</v>
      </c>
      <c r="H81">
        <f t="shared" si="4"/>
        <v>9</v>
      </c>
      <c r="I81">
        <f t="shared" si="5"/>
        <v>2024</v>
      </c>
    </row>
    <row r="82" spans="1:9">
      <c r="A82" s="13">
        <v>45566</v>
      </c>
      <c r="B82" s="14" t="s">
        <v>10</v>
      </c>
      <c r="C82" s="14" t="s">
        <v>27</v>
      </c>
      <c r="D82" s="14" t="s">
        <v>23</v>
      </c>
      <c r="E82" s="14">
        <v>17</v>
      </c>
      <c r="F82" s="15">
        <v>748.57</v>
      </c>
      <c r="G82" s="15">
        <f t="shared" si="3"/>
        <v>12725.69</v>
      </c>
      <c r="H82">
        <f t="shared" si="4"/>
        <v>10</v>
      </c>
      <c r="I82">
        <f t="shared" si="5"/>
        <v>2024</v>
      </c>
    </row>
    <row r="83" spans="1:9">
      <c r="A83" s="13">
        <v>45568</v>
      </c>
      <c r="B83" s="14" t="s">
        <v>13</v>
      </c>
      <c r="C83" s="14" t="s">
        <v>11</v>
      </c>
      <c r="D83" s="14" t="s">
        <v>15</v>
      </c>
      <c r="E83" s="14">
        <v>15</v>
      </c>
      <c r="F83" s="15">
        <v>244.15</v>
      </c>
      <c r="G83" s="15">
        <f t="shared" si="3"/>
        <v>3662.25</v>
      </c>
      <c r="H83">
        <f t="shared" si="4"/>
        <v>10</v>
      </c>
      <c r="I83">
        <f t="shared" si="5"/>
        <v>2024</v>
      </c>
    </row>
    <row r="84" spans="1:9">
      <c r="A84" s="13">
        <v>45568</v>
      </c>
      <c r="B84" s="14" t="s">
        <v>13</v>
      </c>
      <c r="C84" s="14" t="s">
        <v>19</v>
      </c>
      <c r="D84" s="14" t="s">
        <v>15</v>
      </c>
      <c r="E84" s="14">
        <v>42</v>
      </c>
      <c r="F84" s="15">
        <v>228.43</v>
      </c>
      <c r="G84" s="15">
        <f t="shared" si="3"/>
        <v>9594.06</v>
      </c>
      <c r="H84">
        <f t="shared" si="4"/>
        <v>10</v>
      </c>
      <c r="I84">
        <f t="shared" si="5"/>
        <v>2024</v>
      </c>
    </row>
    <row r="85" spans="1:9">
      <c r="A85" s="13">
        <v>45571</v>
      </c>
      <c r="B85" s="14" t="s">
        <v>13</v>
      </c>
      <c r="C85" s="14" t="s">
        <v>19</v>
      </c>
      <c r="D85" s="14" t="s">
        <v>12</v>
      </c>
      <c r="E85" s="14">
        <v>36</v>
      </c>
      <c r="F85" s="15">
        <v>139.44</v>
      </c>
      <c r="G85" s="15">
        <f t="shared" si="3"/>
        <v>5019.84</v>
      </c>
      <c r="H85">
        <f t="shared" si="4"/>
        <v>10</v>
      </c>
      <c r="I85">
        <f t="shared" si="5"/>
        <v>2024</v>
      </c>
    </row>
    <row r="86" spans="1:9">
      <c r="A86" s="13">
        <v>45572</v>
      </c>
      <c r="B86" s="14" t="s">
        <v>13</v>
      </c>
      <c r="C86" s="14" t="s">
        <v>32</v>
      </c>
      <c r="D86" s="14" t="s">
        <v>22</v>
      </c>
      <c r="E86" s="14">
        <v>14</v>
      </c>
      <c r="F86" s="15">
        <v>39.44</v>
      </c>
      <c r="G86" s="15">
        <f t="shared" si="3"/>
        <v>552.16</v>
      </c>
      <c r="H86">
        <f t="shared" si="4"/>
        <v>10</v>
      </c>
      <c r="I86">
        <f t="shared" si="5"/>
        <v>2024</v>
      </c>
    </row>
    <row r="87" spans="1:9">
      <c r="A87" s="13">
        <v>45573</v>
      </c>
      <c r="B87" s="14" t="s">
        <v>10</v>
      </c>
      <c r="C87" s="14" t="s">
        <v>19</v>
      </c>
      <c r="D87" s="14" t="s">
        <v>20</v>
      </c>
      <c r="E87" s="14">
        <v>18</v>
      </c>
      <c r="F87" s="15">
        <v>19.23</v>
      </c>
      <c r="G87" s="15">
        <f t="shared" si="3"/>
        <v>346.14</v>
      </c>
      <c r="H87">
        <f t="shared" si="4"/>
        <v>10</v>
      </c>
      <c r="I87">
        <f t="shared" si="5"/>
        <v>2024</v>
      </c>
    </row>
    <row r="88" spans="1:9">
      <c r="A88" s="13">
        <v>45576</v>
      </c>
      <c r="B88" s="14" t="s">
        <v>26</v>
      </c>
      <c r="C88" s="14" t="s">
        <v>11</v>
      </c>
      <c r="D88" s="14" t="s">
        <v>15</v>
      </c>
      <c r="E88" s="14">
        <v>19</v>
      </c>
      <c r="F88" s="15">
        <v>235.89</v>
      </c>
      <c r="G88" s="15">
        <f t="shared" si="3"/>
        <v>4481.91</v>
      </c>
      <c r="H88">
        <f t="shared" si="4"/>
        <v>10</v>
      </c>
      <c r="I88">
        <f t="shared" si="5"/>
        <v>2024</v>
      </c>
    </row>
    <row r="89" spans="1:9">
      <c r="A89" s="13">
        <v>45578</v>
      </c>
      <c r="B89" s="14" t="s">
        <v>10</v>
      </c>
      <c r="C89" s="14" t="s">
        <v>31</v>
      </c>
      <c r="D89" s="14" t="s">
        <v>12</v>
      </c>
      <c r="E89" s="14">
        <v>47</v>
      </c>
      <c r="F89" s="15">
        <v>161.76</v>
      </c>
      <c r="G89" s="15">
        <f t="shared" si="3"/>
        <v>7602.72</v>
      </c>
      <c r="H89">
        <f t="shared" si="4"/>
        <v>10</v>
      </c>
      <c r="I89">
        <f t="shared" si="5"/>
        <v>2024</v>
      </c>
    </row>
    <row r="90" spans="1:9">
      <c r="A90" s="13">
        <v>45579</v>
      </c>
      <c r="B90" s="14" t="s">
        <v>10</v>
      </c>
      <c r="C90" s="14" t="s">
        <v>24</v>
      </c>
      <c r="D90" s="14" t="s">
        <v>12</v>
      </c>
      <c r="E90" s="14">
        <v>26</v>
      </c>
      <c r="F90" s="15">
        <v>145.86000000000001</v>
      </c>
      <c r="G90" s="15">
        <f t="shared" si="3"/>
        <v>3792.36</v>
      </c>
      <c r="H90">
        <f t="shared" si="4"/>
        <v>10</v>
      </c>
      <c r="I90">
        <f t="shared" si="5"/>
        <v>2024</v>
      </c>
    </row>
    <row r="91" spans="1:9">
      <c r="A91" s="13">
        <v>45579</v>
      </c>
      <c r="B91" s="14" t="s">
        <v>13</v>
      </c>
      <c r="C91" s="14" t="s">
        <v>28</v>
      </c>
      <c r="D91" s="14" t="s">
        <v>23</v>
      </c>
      <c r="E91" s="14">
        <v>45</v>
      </c>
      <c r="F91" s="15">
        <v>864.63</v>
      </c>
      <c r="G91" s="15">
        <f t="shared" si="3"/>
        <v>38908.35</v>
      </c>
      <c r="H91">
        <f t="shared" si="4"/>
        <v>10</v>
      </c>
      <c r="I91">
        <f t="shared" si="5"/>
        <v>2024</v>
      </c>
    </row>
    <row r="92" spans="1:9">
      <c r="A92" s="13">
        <v>45580</v>
      </c>
      <c r="B92" s="14" t="s">
        <v>13</v>
      </c>
      <c r="C92" s="14" t="s">
        <v>28</v>
      </c>
      <c r="D92" s="14" t="s">
        <v>12</v>
      </c>
      <c r="E92" s="14">
        <v>14</v>
      </c>
      <c r="F92" s="15">
        <v>150.18</v>
      </c>
      <c r="G92" s="15">
        <f t="shared" si="3"/>
        <v>2102.52</v>
      </c>
      <c r="H92">
        <f t="shared" si="4"/>
        <v>10</v>
      </c>
      <c r="I92">
        <f t="shared" si="5"/>
        <v>2024</v>
      </c>
    </row>
    <row r="93" spans="1:9">
      <c r="A93" s="13">
        <v>45580</v>
      </c>
      <c r="B93" s="14" t="s">
        <v>18</v>
      </c>
      <c r="C93" s="14" t="s">
        <v>31</v>
      </c>
      <c r="D93" s="14" t="s">
        <v>22</v>
      </c>
      <c r="E93" s="14">
        <v>50</v>
      </c>
      <c r="F93" s="15">
        <v>38.950000000000003</v>
      </c>
      <c r="G93" s="15">
        <f t="shared" si="3"/>
        <v>1947.5</v>
      </c>
      <c r="H93">
        <f t="shared" si="4"/>
        <v>10</v>
      </c>
      <c r="I93">
        <f t="shared" si="5"/>
        <v>2024</v>
      </c>
    </row>
    <row r="94" spans="1:9">
      <c r="A94" s="13">
        <v>45583</v>
      </c>
      <c r="B94" s="14" t="s">
        <v>18</v>
      </c>
      <c r="C94" s="14" t="s">
        <v>27</v>
      </c>
      <c r="D94" s="14" t="s">
        <v>12</v>
      </c>
      <c r="E94" s="14">
        <v>6</v>
      </c>
      <c r="F94" s="15">
        <v>147.58000000000001</v>
      </c>
      <c r="G94" s="15">
        <f t="shared" si="3"/>
        <v>885.48</v>
      </c>
      <c r="H94">
        <f t="shared" si="4"/>
        <v>10</v>
      </c>
      <c r="I94">
        <f t="shared" si="5"/>
        <v>2024</v>
      </c>
    </row>
    <row r="95" spans="1:9">
      <c r="A95" s="13">
        <v>45584</v>
      </c>
      <c r="B95" s="14" t="s">
        <v>26</v>
      </c>
      <c r="C95" s="14" t="s">
        <v>14</v>
      </c>
      <c r="D95" s="14" t="s">
        <v>20</v>
      </c>
      <c r="E95" s="14">
        <v>27</v>
      </c>
      <c r="F95" s="15">
        <v>18.760000000000002</v>
      </c>
      <c r="G95" s="15">
        <f t="shared" si="3"/>
        <v>506.52</v>
      </c>
      <c r="H95">
        <f t="shared" si="4"/>
        <v>10</v>
      </c>
      <c r="I95">
        <f t="shared" si="5"/>
        <v>2024</v>
      </c>
    </row>
    <row r="96" spans="1:9">
      <c r="A96" s="13">
        <v>45588</v>
      </c>
      <c r="B96" s="14" t="s">
        <v>10</v>
      </c>
      <c r="C96" s="14" t="s">
        <v>31</v>
      </c>
      <c r="D96" s="14" t="s">
        <v>20</v>
      </c>
      <c r="E96" s="14">
        <v>29</v>
      </c>
      <c r="F96" s="15">
        <v>20.7</v>
      </c>
      <c r="G96" s="15">
        <f t="shared" si="3"/>
        <v>600.29999999999995</v>
      </c>
      <c r="H96">
        <f t="shared" si="4"/>
        <v>10</v>
      </c>
      <c r="I96">
        <f t="shared" si="5"/>
        <v>2024</v>
      </c>
    </row>
    <row r="97" spans="1:9">
      <c r="A97" s="13">
        <v>45590</v>
      </c>
      <c r="B97" s="14" t="s">
        <v>10</v>
      </c>
      <c r="C97" s="14" t="s">
        <v>32</v>
      </c>
      <c r="D97" s="14" t="s">
        <v>15</v>
      </c>
      <c r="E97" s="14">
        <v>43</v>
      </c>
      <c r="F97" s="15">
        <v>260.81</v>
      </c>
      <c r="G97" s="15">
        <f t="shared" si="3"/>
        <v>11214.83</v>
      </c>
      <c r="H97">
        <f t="shared" si="4"/>
        <v>10</v>
      </c>
      <c r="I97">
        <f t="shared" si="5"/>
        <v>2024</v>
      </c>
    </row>
    <row r="98" spans="1:9">
      <c r="A98" s="13">
        <v>45591</v>
      </c>
      <c r="B98" s="14" t="s">
        <v>13</v>
      </c>
      <c r="C98" s="14" t="s">
        <v>24</v>
      </c>
      <c r="D98" s="14" t="s">
        <v>20</v>
      </c>
      <c r="E98" s="14">
        <v>1</v>
      </c>
      <c r="F98" s="15">
        <v>21.77</v>
      </c>
      <c r="G98" s="15">
        <f t="shared" si="3"/>
        <v>21.77</v>
      </c>
      <c r="H98">
        <f t="shared" si="4"/>
        <v>10</v>
      </c>
      <c r="I98">
        <f t="shared" si="5"/>
        <v>2024</v>
      </c>
    </row>
    <row r="99" spans="1:9">
      <c r="A99" s="13">
        <v>45593</v>
      </c>
      <c r="B99" s="14" t="s">
        <v>10</v>
      </c>
      <c r="C99" s="14" t="s">
        <v>27</v>
      </c>
      <c r="D99" s="14" t="s">
        <v>15</v>
      </c>
      <c r="E99" s="14">
        <v>45</v>
      </c>
      <c r="F99" s="15">
        <v>246.13</v>
      </c>
      <c r="G99" s="15">
        <f t="shared" si="3"/>
        <v>11075.85</v>
      </c>
      <c r="H99">
        <f t="shared" si="4"/>
        <v>10</v>
      </c>
      <c r="I99">
        <f t="shared" si="5"/>
        <v>2024</v>
      </c>
    </row>
    <row r="100" spans="1:9">
      <c r="A100" s="13">
        <v>45593</v>
      </c>
      <c r="B100" s="14" t="s">
        <v>18</v>
      </c>
      <c r="C100" s="14" t="s">
        <v>14</v>
      </c>
      <c r="D100" s="14" t="s">
        <v>23</v>
      </c>
      <c r="E100" s="14">
        <v>5</v>
      </c>
      <c r="F100" s="15">
        <v>833.25</v>
      </c>
      <c r="G100" s="15">
        <f t="shared" si="3"/>
        <v>4166.25</v>
      </c>
      <c r="H100">
        <f t="shared" si="4"/>
        <v>10</v>
      </c>
      <c r="I100">
        <f t="shared" si="5"/>
        <v>2024</v>
      </c>
    </row>
    <row r="101" spans="1:9">
      <c r="A101" s="13">
        <v>45595</v>
      </c>
      <c r="B101" s="14" t="s">
        <v>10</v>
      </c>
      <c r="C101" s="14" t="s">
        <v>19</v>
      </c>
      <c r="D101" s="14" t="s">
        <v>15</v>
      </c>
      <c r="E101" s="14">
        <v>6</v>
      </c>
      <c r="F101" s="15">
        <v>238.95</v>
      </c>
      <c r="G101" s="15">
        <f t="shared" si="3"/>
        <v>1433.7</v>
      </c>
      <c r="H101">
        <f t="shared" si="4"/>
        <v>10</v>
      </c>
      <c r="I101">
        <f t="shared" si="5"/>
        <v>2024</v>
      </c>
    </row>
    <row r="102" spans="1:9">
      <c r="A102" s="13">
        <v>45600</v>
      </c>
      <c r="B102" s="14" t="s">
        <v>18</v>
      </c>
      <c r="C102" s="14" t="s">
        <v>31</v>
      </c>
      <c r="D102" s="14" t="s">
        <v>15</v>
      </c>
      <c r="E102" s="14">
        <v>18</v>
      </c>
      <c r="F102" s="15">
        <v>246.79</v>
      </c>
      <c r="G102" s="15">
        <f t="shared" si="3"/>
        <v>4442.22</v>
      </c>
      <c r="H102">
        <f t="shared" si="4"/>
        <v>11</v>
      </c>
      <c r="I102">
        <f t="shared" si="5"/>
        <v>2024</v>
      </c>
    </row>
    <row r="103" spans="1:9">
      <c r="A103" s="13">
        <v>45602</v>
      </c>
      <c r="B103" s="14" t="s">
        <v>26</v>
      </c>
      <c r="C103" s="14" t="s">
        <v>14</v>
      </c>
      <c r="D103" s="14" t="s">
        <v>12</v>
      </c>
      <c r="E103" s="14">
        <v>49</v>
      </c>
      <c r="F103" s="15">
        <v>156.9</v>
      </c>
      <c r="G103" s="15">
        <f t="shared" si="3"/>
        <v>7688.1</v>
      </c>
      <c r="H103">
        <f t="shared" si="4"/>
        <v>11</v>
      </c>
      <c r="I103">
        <f t="shared" si="5"/>
        <v>2024</v>
      </c>
    </row>
    <row r="104" spans="1:9">
      <c r="A104" s="13">
        <v>45602</v>
      </c>
      <c r="B104" s="14" t="s">
        <v>13</v>
      </c>
      <c r="C104" s="14" t="s">
        <v>11</v>
      </c>
      <c r="D104" s="14" t="s">
        <v>22</v>
      </c>
      <c r="E104" s="14">
        <v>7</v>
      </c>
      <c r="F104" s="15">
        <v>40.630000000000003</v>
      </c>
      <c r="G104" s="15">
        <f t="shared" si="3"/>
        <v>284.41000000000003</v>
      </c>
      <c r="H104">
        <f t="shared" si="4"/>
        <v>11</v>
      </c>
      <c r="I104">
        <f t="shared" si="5"/>
        <v>2024</v>
      </c>
    </row>
    <row r="105" spans="1:9">
      <c r="A105" s="13">
        <v>45604</v>
      </c>
      <c r="B105" s="14" t="s">
        <v>13</v>
      </c>
      <c r="C105" s="14" t="s">
        <v>31</v>
      </c>
      <c r="D105" s="14" t="s">
        <v>20</v>
      </c>
      <c r="E105" s="14">
        <v>41</v>
      </c>
      <c r="F105" s="15">
        <v>20.3</v>
      </c>
      <c r="G105" s="15">
        <f t="shared" si="3"/>
        <v>832.3</v>
      </c>
      <c r="H105">
        <f t="shared" si="4"/>
        <v>11</v>
      </c>
      <c r="I105">
        <f t="shared" si="5"/>
        <v>2024</v>
      </c>
    </row>
    <row r="106" spans="1:9">
      <c r="A106" s="13">
        <v>45610</v>
      </c>
      <c r="B106" s="14" t="s">
        <v>18</v>
      </c>
      <c r="C106" s="14" t="s">
        <v>14</v>
      </c>
      <c r="D106" s="14" t="s">
        <v>15</v>
      </c>
      <c r="E106" s="14">
        <v>31</v>
      </c>
      <c r="F106" s="15">
        <v>258.47000000000003</v>
      </c>
      <c r="G106" s="15">
        <f t="shared" si="3"/>
        <v>8012.57</v>
      </c>
      <c r="H106">
        <f t="shared" si="4"/>
        <v>11</v>
      </c>
      <c r="I106">
        <f t="shared" si="5"/>
        <v>2024</v>
      </c>
    </row>
    <row r="107" spans="1:9">
      <c r="A107" s="13">
        <v>45613</v>
      </c>
      <c r="B107" s="14" t="s">
        <v>10</v>
      </c>
      <c r="C107" s="14" t="s">
        <v>14</v>
      </c>
      <c r="D107" s="14" t="s">
        <v>23</v>
      </c>
      <c r="E107" s="14">
        <v>3</v>
      </c>
      <c r="F107" s="15">
        <v>825.8</v>
      </c>
      <c r="G107" s="15">
        <f t="shared" si="3"/>
        <v>2477.4</v>
      </c>
      <c r="H107">
        <f t="shared" si="4"/>
        <v>11</v>
      </c>
      <c r="I107">
        <f t="shared" si="5"/>
        <v>2024</v>
      </c>
    </row>
    <row r="108" spans="1:9">
      <c r="A108" s="13">
        <v>45613</v>
      </c>
      <c r="B108" s="14" t="s">
        <v>18</v>
      </c>
      <c r="C108" s="14" t="s">
        <v>28</v>
      </c>
      <c r="D108" s="14" t="s">
        <v>22</v>
      </c>
      <c r="E108" s="14">
        <v>44</v>
      </c>
      <c r="F108" s="15">
        <v>40.799999999999997</v>
      </c>
      <c r="G108" s="15">
        <f t="shared" si="3"/>
        <v>1795.2</v>
      </c>
      <c r="H108">
        <f t="shared" si="4"/>
        <v>11</v>
      </c>
      <c r="I108">
        <f t="shared" si="5"/>
        <v>2024</v>
      </c>
    </row>
    <row r="109" spans="1:9">
      <c r="A109" s="13">
        <v>45616</v>
      </c>
      <c r="B109" s="14" t="s">
        <v>10</v>
      </c>
      <c r="C109" s="14" t="s">
        <v>28</v>
      </c>
      <c r="D109" s="14" t="s">
        <v>15</v>
      </c>
      <c r="E109" s="14">
        <v>44</v>
      </c>
      <c r="F109" s="15">
        <v>240.52</v>
      </c>
      <c r="G109" s="15">
        <f t="shared" si="3"/>
        <v>10582.88</v>
      </c>
      <c r="H109">
        <f t="shared" si="4"/>
        <v>11</v>
      </c>
      <c r="I109">
        <f t="shared" si="5"/>
        <v>2024</v>
      </c>
    </row>
    <row r="110" spans="1:9">
      <c r="A110" s="13">
        <v>45617</v>
      </c>
      <c r="B110" s="14" t="s">
        <v>10</v>
      </c>
      <c r="C110" s="14" t="s">
        <v>11</v>
      </c>
      <c r="D110" s="14" t="s">
        <v>22</v>
      </c>
      <c r="E110" s="14">
        <v>23</v>
      </c>
      <c r="F110" s="15">
        <v>37.68</v>
      </c>
      <c r="G110" s="15">
        <f t="shared" si="3"/>
        <v>866.64</v>
      </c>
      <c r="H110">
        <f t="shared" si="4"/>
        <v>11</v>
      </c>
      <c r="I110">
        <f t="shared" si="5"/>
        <v>2024</v>
      </c>
    </row>
    <row r="111" spans="1:9">
      <c r="A111" s="13">
        <v>45618</v>
      </c>
      <c r="B111" s="14" t="s">
        <v>10</v>
      </c>
      <c r="C111" s="14" t="s">
        <v>11</v>
      </c>
      <c r="D111" s="14" t="s">
        <v>20</v>
      </c>
      <c r="E111" s="14">
        <v>36</v>
      </c>
      <c r="F111" s="15">
        <v>20.82</v>
      </c>
      <c r="G111" s="15">
        <f t="shared" si="3"/>
        <v>749.52</v>
      </c>
      <c r="H111">
        <f t="shared" si="4"/>
        <v>11</v>
      </c>
      <c r="I111">
        <f t="shared" si="5"/>
        <v>2024</v>
      </c>
    </row>
    <row r="112" spans="1:9">
      <c r="A112" s="13">
        <v>45619</v>
      </c>
      <c r="B112" s="14" t="s">
        <v>13</v>
      </c>
      <c r="C112" s="14" t="s">
        <v>27</v>
      </c>
      <c r="D112" s="14" t="s">
        <v>22</v>
      </c>
      <c r="E112" s="14">
        <v>16</v>
      </c>
      <c r="F112" s="15">
        <v>37.79</v>
      </c>
      <c r="G112" s="15">
        <f t="shared" si="3"/>
        <v>604.64</v>
      </c>
      <c r="H112">
        <f t="shared" si="4"/>
        <v>11</v>
      </c>
      <c r="I112">
        <f t="shared" si="5"/>
        <v>2024</v>
      </c>
    </row>
    <row r="113" spans="1:9">
      <c r="A113" s="13">
        <v>45621</v>
      </c>
      <c r="B113" s="14" t="s">
        <v>26</v>
      </c>
      <c r="C113" s="14" t="s">
        <v>11</v>
      </c>
      <c r="D113" s="14" t="s">
        <v>22</v>
      </c>
      <c r="E113" s="14">
        <v>9</v>
      </c>
      <c r="F113" s="15">
        <v>37.97</v>
      </c>
      <c r="G113" s="15">
        <f t="shared" si="3"/>
        <v>341.73</v>
      </c>
      <c r="H113">
        <f t="shared" si="4"/>
        <v>11</v>
      </c>
      <c r="I113">
        <f t="shared" si="5"/>
        <v>2024</v>
      </c>
    </row>
    <row r="114" spans="1:9">
      <c r="A114" s="13">
        <v>45625</v>
      </c>
      <c r="B114" s="14" t="s">
        <v>13</v>
      </c>
      <c r="C114" s="14" t="s">
        <v>27</v>
      </c>
      <c r="D114" s="14" t="s">
        <v>15</v>
      </c>
      <c r="E114" s="14">
        <v>13</v>
      </c>
      <c r="F114" s="15">
        <v>266.95999999999998</v>
      </c>
      <c r="G114" s="15">
        <f t="shared" si="3"/>
        <v>3470.48</v>
      </c>
      <c r="H114">
        <f t="shared" si="4"/>
        <v>11</v>
      </c>
      <c r="I114">
        <f t="shared" si="5"/>
        <v>2024</v>
      </c>
    </row>
    <row r="115" spans="1:9">
      <c r="A115" s="13">
        <v>45625</v>
      </c>
      <c r="B115" s="14" t="s">
        <v>10</v>
      </c>
      <c r="C115" s="14" t="s">
        <v>31</v>
      </c>
      <c r="D115" s="14" t="s">
        <v>20</v>
      </c>
      <c r="E115" s="14">
        <v>28</v>
      </c>
      <c r="F115" s="15">
        <v>-5580.2742857142803</v>
      </c>
      <c r="G115" s="15">
        <f t="shared" si="3"/>
        <v>-156247.67999999999</v>
      </c>
      <c r="H115">
        <f t="shared" si="4"/>
        <v>11</v>
      </c>
      <c r="I115">
        <f t="shared" si="5"/>
        <v>2024</v>
      </c>
    </row>
    <row r="116" spans="1:9">
      <c r="A116" s="13">
        <v>45631</v>
      </c>
      <c r="B116" s="14" t="s">
        <v>10</v>
      </c>
      <c r="C116" s="14" t="s">
        <v>31</v>
      </c>
      <c r="D116" s="14" t="s">
        <v>12</v>
      </c>
      <c r="E116" s="14">
        <v>34</v>
      </c>
      <c r="F116" s="15">
        <v>145.31</v>
      </c>
      <c r="G116" s="15">
        <f t="shared" si="3"/>
        <v>4940.54</v>
      </c>
      <c r="H116">
        <f t="shared" si="4"/>
        <v>12</v>
      </c>
      <c r="I116">
        <f t="shared" si="5"/>
        <v>2024</v>
      </c>
    </row>
    <row r="117" spans="1:9">
      <c r="A117" s="13">
        <v>45635</v>
      </c>
      <c r="B117" s="14" t="s">
        <v>18</v>
      </c>
      <c r="C117" s="14" t="s">
        <v>19</v>
      </c>
      <c r="D117" s="14" t="s">
        <v>20</v>
      </c>
      <c r="E117" s="14">
        <v>5</v>
      </c>
      <c r="F117" s="15">
        <v>21.8</v>
      </c>
      <c r="G117" s="15">
        <f t="shared" si="3"/>
        <v>109</v>
      </c>
      <c r="H117">
        <f t="shared" si="4"/>
        <v>12</v>
      </c>
      <c r="I117">
        <f t="shared" si="5"/>
        <v>2024</v>
      </c>
    </row>
    <row r="118" spans="1:9">
      <c r="A118" s="13">
        <v>45644</v>
      </c>
      <c r="B118" s="14" t="s">
        <v>13</v>
      </c>
      <c r="C118" s="14" t="s">
        <v>28</v>
      </c>
      <c r="D118" s="14" t="s">
        <v>20</v>
      </c>
      <c r="E118" s="14">
        <v>15</v>
      </c>
      <c r="F118" s="15">
        <v>18.7</v>
      </c>
      <c r="G118" s="15">
        <f t="shared" si="3"/>
        <v>280.5</v>
      </c>
      <c r="H118">
        <f t="shared" si="4"/>
        <v>12</v>
      </c>
      <c r="I118">
        <f t="shared" si="5"/>
        <v>2024</v>
      </c>
    </row>
    <row r="119" spans="1:9">
      <c r="A119" s="13">
        <v>45648</v>
      </c>
      <c r="B119" s="14" t="s">
        <v>26</v>
      </c>
      <c r="C119" s="14" t="s">
        <v>31</v>
      </c>
      <c r="D119" s="14" t="s">
        <v>20</v>
      </c>
      <c r="E119" s="14">
        <v>16</v>
      </c>
      <c r="F119" s="15">
        <v>18.59</v>
      </c>
      <c r="G119" s="15">
        <f t="shared" si="3"/>
        <v>297.44</v>
      </c>
      <c r="H119">
        <f t="shared" si="4"/>
        <v>12</v>
      </c>
      <c r="I119">
        <f t="shared" si="5"/>
        <v>2024</v>
      </c>
    </row>
    <row r="120" spans="1:9">
      <c r="A120" s="13">
        <v>45648</v>
      </c>
      <c r="B120" s="14" t="s">
        <v>26</v>
      </c>
      <c r="C120" s="14" t="s">
        <v>27</v>
      </c>
      <c r="D120" s="14" t="s">
        <v>12</v>
      </c>
      <c r="E120" s="14">
        <v>16</v>
      </c>
      <c r="F120" s="15">
        <v>162.52000000000001</v>
      </c>
      <c r="G120" s="15">
        <f t="shared" si="3"/>
        <v>2600.3200000000002</v>
      </c>
      <c r="H120">
        <f t="shared" si="4"/>
        <v>12</v>
      </c>
      <c r="I120">
        <f t="shared" si="5"/>
        <v>2024</v>
      </c>
    </row>
    <row r="121" spans="1:9">
      <c r="A121" s="13">
        <v>45657</v>
      </c>
      <c r="B121" s="14" t="s">
        <v>10</v>
      </c>
      <c r="C121" s="14" t="s">
        <v>14</v>
      </c>
      <c r="D121" s="14" t="s">
        <v>22</v>
      </c>
      <c r="E121" s="14">
        <v>22</v>
      </c>
      <c r="F121" s="15">
        <v>38.56</v>
      </c>
      <c r="G121" s="15">
        <f t="shared" si="3"/>
        <v>848.32</v>
      </c>
      <c r="H121">
        <f t="shared" si="4"/>
        <v>12</v>
      </c>
      <c r="I121">
        <f t="shared" si="5"/>
        <v>2024</v>
      </c>
    </row>
    <row r="122" spans="1:9">
      <c r="G122" s="44" t="s">
        <v>45</v>
      </c>
    </row>
    <row r="123" spans="1:9">
      <c r="G123" s="17">
        <f>SUM(G2:G121)</f>
        <v>500000</v>
      </c>
    </row>
    <row r="124" spans="1:9">
      <c r="G124" s="45" t="s">
        <v>46</v>
      </c>
    </row>
    <row r="125" spans="1:9">
      <c r="G125" s="46">
        <v>656978.07999999996</v>
      </c>
    </row>
  </sheetData>
  <dataValidations count="2">
    <dataValidation type="list" allowBlank="1" showInputMessage="1" showErrorMessage="1" sqref="B1:B1048576" xr:uid="{00000000-0002-0000-0300-000000000000}">
      <formula1>"North, South, East, West"</formula1>
    </dataValidation>
    <dataValidation type="whole" allowBlank="1" showInputMessage="1" showErrorMessage="1" sqref="E1:E1048576" xr:uid="{00000000-0002-0000-0300-000001000000}">
      <formula1>1</formula1>
      <formula2>100</formula2>
    </dataValidation>
  </dataValidations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9"/>
  <sheetViews>
    <sheetView zoomScale="122" zoomScaleNormal="122" workbookViewId="0">
      <selection activeCell="L10" sqref="L10"/>
    </sheetView>
  </sheetViews>
  <sheetFormatPr defaultColWidth="9" defaultRowHeight="14"/>
  <cols>
    <col min="1" max="1" width="7.6328125" customWidth="1"/>
  </cols>
  <sheetData>
    <row r="1" spans="1:9" ht="23">
      <c r="A1" s="51" t="s">
        <v>47</v>
      </c>
      <c r="B1" s="51"/>
      <c r="C1" s="51"/>
      <c r="D1" s="51"/>
      <c r="E1" s="51"/>
      <c r="F1" s="51"/>
      <c r="G1" s="51"/>
    </row>
    <row r="3" spans="1:9" ht="17.5">
      <c r="A3" s="52" t="s">
        <v>48</v>
      </c>
      <c r="B3" s="52"/>
      <c r="C3" s="52"/>
    </row>
    <row r="4" spans="1:9">
      <c r="A4" s="9"/>
    </row>
    <row r="5" spans="1:9" ht="15">
      <c r="A5" s="53" t="s">
        <v>49</v>
      </c>
      <c r="B5" s="53"/>
      <c r="C5" s="53"/>
      <c r="D5" s="53"/>
      <c r="E5" s="53"/>
    </row>
    <row r="6" spans="1:9">
      <c r="A6" s="9"/>
    </row>
    <row r="7" spans="1:9" ht="15">
      <c r="A7" s="53" t="s">
        <v>50</v>
      </c>
      <c r="B7" s="53"/>
      <c r="C7" s="53"/>
      <c r="D7" s="53"/>
      <c r="E7" s="53"/>
      <c r="F7" s="53"/>
      <c r="G7" s="53"/>
      <c r="H7" s="53"/>
    </row>
    <row r="8" spans="1:9">
      <c r="A8" s="9"/>
    </row>
    <row r="9" spans="1:9" ht="15">
      <c r="A9" s="54" t="s">
        <v>51</v>
      </c>
      <c r="B9" s="54"/>
      <c r="C9" s="54"/>
      <c r="D9" s="54"/>
      <c r="E9" s="54"/>
      <c r="F9" s="54"/>
      <c r="G9" s="54"/>
      <c r="H9" s="54"/>
      <c r="I9" s="54"/>
    </row>
    <row r="11" spans="1:9" ht="17.5">
      <c r="A11" s="55" t="s">
        <v>52</v>
      </c>
      <c r="B11" s="55"/>
      <c r="C11" s="55"/>
    </row>
    <row r="12" spans="1:9">
      <c r="A12" s="9"/>
    </row>
    <row r="13" spans="1:9" ht="15">
      <c r="A13" s="53" t="s">
        <v>53</v>
      </c>
      <c r="B13" s="53"/>
      <c r="C13" s="53"/>
      <c r="D13" s="53"/>
      <c r="E13" s="53"/>
    </row>
    <row r="14" spans="1:9">
      <c r="A14" s="9"/>
    </row>
    <row r="15" spans="1:9" ht="15">
      <c r="A15" s="53" t="s">
        <v>54</v>
      </c>
      <c r="B15" s="53"/>
      <c r="C15" s="53"/>
      <c r="D15" s="53"/>
      <c r="E15" s="53"/>
      <c r="F15" s="53"/>
      <c r="G15" s="53"/>
      <c r="H15" s="53"/>
      <c r="I15" s="53"/>
    </row>
    <row r="16" spans="1:9">
      <c r="A16" s="9"/>
    </row>
    <row r="17" spans="1:10" ht="15">
      <c r="A17" s="54" t="s">
        <v>55</v>
      </c>
      <c r="B17" s="54"/>
      <c r="C17" s="54"/>
      <c r="D17" s="54"/>
      <c r="E17" s="54"/>
      <c r="F17" s="54"/>
      <c r="G17" s="54"/>
      <c r="H17" s="54"/>
      <c r="I17" s="54"/>
      <c r="J17" s="54"/>
    </row>
    <row r="19" spans="1:10" ht="17.5">
      <c r="A19" s="52" t="s">
        <v>56</v>
      </c>
      <c r="B19" s="52"/>
      <c r="C19" s="52"/>
    </row>
    <row r="20" spans="1:10">
      <c r="A20" s="9"/>
    </row>
    <row r="21" spans="1:10" ht="15">
      <c r="A21" s="53" t="s">
        <v>57</v>
      </c>
      <c r="B21" s="53"/>
      <c r="C21" s="53"/>
      <c r="D21" s="53"/>
      <c r="E21" s="53"/>
      <c r="F21" s="53"/>
    </row>
    <row r="22" spans="1:10">
      <c r="A22" s="9"/>
    </row>
    <row r="23" spans="1:10" ht="15">
      <c r="A23" s="53" t="s">
        <v>58</v>
      </c>
      <c r="B23" s="53"/>
      <c r="C23" s="53"/>
      <c r="D23" s="53"/>
      <c r="E23" s="53"/>
      <c r="F23" s="53"/>
      <c r="G23" s="53"/>
    </row>
    <row r="24" spans="1:10">
      <c r="A24" s="9"/>
    </row>
    <row r="25" spans="1:10" ht="15">
      <c r="A25" s="54" t="s">
        <v>59</v>
      </c>
      <c r="B25" s="54"/>
      <c r="C25" s="54"/>
      <c r="D25" s="54"/>
      <c r="E25" s="54"/>
      <c r="F25" s="54"/>
      <c r="G25" s="54"/>
      <c r="H25" s="54"/>
      <c r="I25" s="54"/>
      <c r="J25" s="54"/>
    </row>
    <row r="27" spans="1:10" ht="17.5">
      <c r="A27" s="52" t="s">
        <v>60</v>
      </c>
      <c r="B27" s="52"/>
      <c r="C27" s="52"/>
    </row>
    <row r="28" spans="1:10">
      <c r="A28" s="9"/>
    </row>
    <row r="29" spans="1:10" ht="15">
      <c r="A29" s="53" t="s">
        <v>61</v>
      </c>
      <c r="B29" s="53"/>
      <c r="C29" s="53"/>
      <c r="D29" s="53"/>
      <c r="E29" s="53"/>
      <c r="F29" s="53"/>
      <c r="G29" s="53"/>
      <c r="H29" s="53"/>
      <c r="I29" s="53"/>
      <c r="J29" s="53"/>
    </row>
    <row r="30" spans="1:10">
      <c r="A30" s="9"/>
    </row>
    <row r="31" spans="1:10" ht="15">
      <c r="A31" s="53" t="s">
        <v>62</v>
      </c>
      <c r="B31" s="53"/>
      <c r="C31" s="53"/>
      <c r="D31" s="53"/>
      <c r="E31" s="53"/>
      <c r="F31" s="53"/>
      <c r="G31" s="53"/>
    </row>
    <row r="32" spans="1:10">
      <c r="A32" s="9"/>
    </row>
    <row r="33" spans="1:12" ht="15">
      <c r="A33" s="54" t="s">
        <v>63</v>
      </c>
      <c r="B33" s="54"/>
      <c r="C33" s="54"/>
      <c r="D33" s="54"/>
      <c r="E33" s="54"/>
      <c r="F33" s="54"/>
      <c r="G33" s="54"/>
    </row>
    <row r="35" spans="1:12" ht="17.5">
      <c r="A35" s="52" t="s">
        <v>64</v>
      </c>
      <c r="B35" s="52"/>
    </row>
    <row r="36" spans="1:12">
      <c r="A36" s="9"/>
    </row>
    <row r="37" spans="1:12" ht="15">
      <c r="A37" s="54" t="s">
        <v>65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</row>
    <row r="38" spans="1:12">
      <c r="A38" s="9"/>
    </row>
    <row r="39" spans="1:12" ht="15">
      <c r="A39" s="54" t="s">
        <v>66</v>
      </c>
      <c r="B39" s="54"/>
      <c r="C39" s="54"/>
      <c r="D39" s="54"/>
      <c r="E39" s="54"/>
      <c r="F39" s="54"/>
      <c r="G39" s="54"/>
      <c r="H39" s="54"/>
    </row>
    <row r="41" spans="1:12" ht="17.5">
      <c r="A41" s="52" t="s">
        <v>67</v>
      </c>
      <c r="B41" s="52"/>
    </row>
    <row r="42" spans="1:12">
      <c r="A42" s="9"/>
    </row>
    <row r="43" spans="1:12" ht="15">
      <c r="A43" s="53" t="s">
        <v>68</v>
      </c>
      <c r="B43" s="53"/>
      <c r="C43" s="53"/>
      <c r="D43" s="53"/>
      <c r="E43" s="53"/>
      <c r="F43" s="53"/>
    </row>
    <row r="44" spans="1:12">
      <c r="A44" s="9"/>
    </row>
    <row r="45" spans="1:12" ht="15">
      <c r="A45" s="53" t="s">
        <v>69</v>
      </c>
      <c r="B45" s="53"/>
      <c r="C45" s="53"/>
      <c r="D45" s="53"/>
      <c r="E45" s="53"/>
      <c r="F45" s="53"/>
    </row>
    <row r="46" spans="1:12">
      <c r="A46" s="9"/>
    </row>
    <row r="47" spans="1:12" ht="15">
      <c r="A47" s="53" t="s">
        <v>70</v>
      </c>
      <c r="B47" s="53"/>
      <c r="C47" s="53"/>
      <c r="D47" s="53"/>
      <c r="E47" s="53"/>
      <c r="F47" s="53"/>
      <c r="G47" s="53"/>
      <c r="H47" s="53"/>
      <c r="I47" s="53"/>
    </row>
    <row r="48" spans="1:12">
      <c r="A48" s="9"/>
    </row>
    <row r="49" spans="1:11" ht="15">
      <c r="A49" s="54" t="s">
        <v>71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</row>
  </sheetData>
  <mergeCells count="25">
    <mergeCell ref="A41:B41"/>
    <mergeCell ref="A43:F43"/>
    <mergeCell ref="A45:F45"/>
    <mergeCell ref="A47:I47"/>
    <mergeCell ref="A49:K49"/>
    <mergeCell ref="A31:G31"/>
    <mergeCell ref="A33:G33"/>
    <mergeCell ref="A35:B35"/>
    <mergeCell ref="A37:L37"/>
    <mergeCell ref="A39:H39"/>
    <mergeCell ref="A21:F21"/>
    <mergeCell ref="A23:G23"/>
    <mergeCell ref="A25:J25"/>
    <mergeCell ref="A27:C27"/>
    <mergeCell ref="A29:J29"/>
    <mergeCell ref="A11:C11"/>
    <mergeCell ref="A13:E13"/>
    <mergeCell ref="A15:I15"/>
    <mergeCell ref="A17:J17"/>
    <mergeCell ref="A19:C19"/>
    <mergeCell ref="A1:G1"/>
    <mergeCell ref="A3:C3"/>
    <mergeCell ref="A5:E5"/>
    <mergeCell ref="A7:H7"/>
    <mergeCell ref="A9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64"/>
  <sheetViews>
    <sheetView tabSelected="1" workbookViewId="0">
      <selection activeCell="S15" sqref="S15"/>
    </sheetView>
  </sheetViews>
  <sheetFormatPr defaultColWidth="9" defaultRowHeight="14"/>
  <sheetData>
    <row r="1" spans="1:25">
      <c r="A1" s="47" t="s">
        <v>72</v>
      </c>
      <c r="B1" s="48"/>
      <c r="C1" s="48"/>
      <c r="D1" s="48"/>
      <c r="E1" s="48"/>
      <c r="F1" s="48"/>
      <c r="G1" s="48"/>
      <c r="H1" s="48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</row>
    <row r="2" spans="1:25">
      <c r="A2" s="49"/>
      <c r="B2" s="50"/>
      <c r="C2" s="50"/>
      <c r="D2" s="50"/>
      <c r="E2" s="50"/>
      <c r="F2" s="50"/>
      <c r="G2" s="50"/>
      <c r="H2" s="50"/>
      <c r="Y2" s="7"/>
    </row>
    <row r="3" spans="1:25">
      <c r="A3" s="1"/>
      <c r="Y3" s="7"/>
    </row>
    <row r="4" spans="1:25">
      <c r="A4" s="1"/>
      <c r="Y4" s="7"/>
    </row>
    <row r="5" spans="1:25">
      <c r="A5" s="1"/>
      <c r="Y5" s="7"/>
    </row>
    <row r="6" spans="1:25">
      <c r="A6" s="1"/>
      <c r="Y6" s="7"/>
    </row>
    <row r="7" spans="1:25">
      <c r="A7" s="1"/>
      <c r="Y7" s="7"/>
    </row>
    <row r="8" spans="1:25">
      <c r="A8" s="1"/>
      <c r="Y8" s="7"/>
    </row>
    <row r="9" spans="1:25">
      <c r="A9" s="1"/>
      <c r="Y9" s="7"/>
    </row>
    <row r="10" spans="1:25">
      <c r="A10" s="1"/>
      <c r="Y10" s="7"/>
    </row>
    <row r="11" spans="1:25">
      <c r="A11" s="1"/>
      <c r="Y11" s="7"/>
    </row>
    <row r="12" spans="1:25">
      <c r="A12" s="1"/>
      <c r="Y12" s="7"/>
    </row>
    <row r="13" spans="1:25">
      <c r="A13" s="1"/>
      <c r="Y13" s="7"/>
    </row>
    <row r="14" spans="1:25">
      <c r="A14" s="1"/>
      <c r="Y14" s="7"/>
    </row>
    <row r="15" spans="1:25">
      <c r="A15" s="1"/>
      <c r="Y15" s="7"/>
    </row>
    <row r="16" spans="1:25">
      <c r="A16" s="1"/>
      <c r="Y16" s="7"/>
    </row>
    <row r="17" spans="1:25">
      <c r="A17" s="1"/>
      <c r="Y17" s="7"/>
    </row>
    <row r="18" spans="1:25">
      <c r="A18" s="1"/>
      <c r="Y18" s="7"/>
    </row>
    <row r="19" spans="1:25">
      <c r="A19" s="1"/>
      <c r="Y19" s="7"/>
    </row>
    <row r="20" spans="1:25">
      <c r="A20" s="1"/>
      <c r="Y20" s="7"/>
    </row>
    <row r="21" spans="1:25">
      <c r="A21" s="1"/>
      <c r="Y21" s="7"/>
    </row>
    <row r="22" spans="1:25">
      <c r="A22" s="1"/>
      <c r="Y22" s="7"/>
    </row>
    <row r="23" spans="1:25">
      <c r="A23" s="1"/>
      <c r="Y23" s="7"/>
    </row>
    <row r="24" spans="1:25">
      <c r="A24" s="1"/>
      <c r="Y24" s="7"/>
    </row>
    <row r="25" spans="1:25">
      <c r="A25" s="1"/>
      <c r="Y25" s="7"/>
    </row>
    <row r="26" spans="1:25">
      <c r="A26" s="1"/>
      <c r="Y26" s="7"/>
    </row>
    <row r="27" spans="1:25">
      <c r="A27" s="1"/>
      <c r="Y27" s="7"/>
    </row>
    <row r="28" spans="1:25">
      <c r="A28" s="1"/>
      <c r="Y28" s="7"/>
    </row>
    <row r="29" spans="1:25">
      <c r="A29" s="1"/>
      <c r="Y29" s="7"/>
    </row>
    <row r="30" spans="1:25">
      <c r="A30" s="1"/>
      <c r="Y30" s="7"/>
    </row>
    <row r="31" spans="1:25">
      <c r="A31" s="1"/>
      <c r="Y31" s="7"/>
    </row>
    <row r="32" spans="1:25">
      <c r="A32" s="1"/>
      <c r="Y32" s="7"/>
    </row>
    <row r="33" spans="1:25">
      <c r="A33" s="1"/>
      <c r="Y33" s="7"/>
    </row>
    <row r="34" spans="1:25">
      <c r="A34" s="1"/>
      <c r="Y34" s="7"/>
    </row>
    <row r="35" spans="1:25">
      <c r="A35" s="1"/>
      <c r="Y35" s="7"/>
    </row>
    <row r="36" spans="1:25">
      <c r="A36" s="1"/>
      <c r="Y36" s="7"/>
    </row>
    <row r="37" spans="1:25">
      <c r="A37" s="1"/>
      <c r="Y37" s="7"/>
    </row>
    <row r="38" spans="1:25">
      <c r="A38" s="1"/>
      <c r="Y38" s="7"/>
    </row>
    <row r="39" spans="1:25">
      <c r="A39" s="1"/>
      <c r="Y39" s="7"/>
    </row>
    <row r="40" spans="1:25">
      <c r="A40" s="1"/>
      <c r="Y40" s="7"/>
    </row>
    <row r="41" spans="1:25">
      <c r="A41" s="1"/>
      <c r="Y41" s="7"/>
    </row>
    <row r="42" spans="1:25">
      <c r="A42" s="1"/>
      <c r="Y42" s="7"/>
    </row>
    <row r="43" spans="1:25">
      <c r="A43" s="1"/>
      <c r="Y43" s="7"/>
    </row>
    <row r="44" spans="1: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8"/>
    </row>
    <row r="64" spans="8:8">
      <c r="H64" s="4"/>
    </row>
  </sheetData>
  <mergeCells count="1">
    <mergeCell ref="A1:H2"/>
  </mergeCells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Week3</vt:lpstr>
      <vt:lpstr>Week3 Insight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Khan</dc:creator>
  <cp:lastModifiedBy>Fazl Ullah</cp:lastModifiedBy>
  <dcterms:created xsi:type="dcterms:W3CDTF">2026-07-26T18:59:00Z</dcterms:created>
  <dcterms:modified xsi:type="dcterms:W3CDTF">2026-09-18T16:16:50Z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4617CAFDA3F54B9AB714451C266B3F48_12</vt:lpwstr>
  </property>
  <property fmtid="{D5CDD505-2E9C-101B-9397-08002B2CF9AE}" pid="3" name="KSOProductBuildVer">
    <vt:lpwstr>2057-12.2.0.23206</vt:lpwstr>
  </property>
</Properties>
</file>